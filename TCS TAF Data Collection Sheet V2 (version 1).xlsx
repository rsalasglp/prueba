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7.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santandernet.sharepoint.com/sites/CTO-SantanderPer/Shared Documents/07_Proyectos/03_Diseño_Arquitectura/00_Material/03_As_Is_Documentos/Arka/"/>
    </mc:Choice>
  </mc:AlternateContent>
  <xr:revisionPtr revIDLastSave="0" documentId="8_{9003FCE2-A43B-4914-9798-287DB62BB30A}" xr6:coauthVersionLast="47" xr6:coauthVersionMax="47" xr10:uidLastSave="{00000000-0000-0000-0000-000000000000}"/>
  <bookViews>
    <workbookView xWindow="-110" yWindow="-110" windowWidth="19420" windowHeight="11500" firstSheet="1" activeTab="4" xr2:uid="{FC6A2852-B757-467F-83B0-95729B908A82}"/>
  </bookViews>
  <sheets>
    <sheet name="Application Info" sheetId="2" r:id="rId1"/>
    <sheet name="Stakeholders" sheetId="3" r:id="rId2"/>
    <sheet name="Business Info" sheetId="4" r:id="rId3"/>
    <sheet name="Technical Info" sheetId="5" r:id="rId4"/>
    <sheet name="Technical Platforms" sheetId="6" r:id="rId5"/>
    <sheet name="Usage" sheetId="7" r:id="rId6"/>
    <sheet name="Maintenance" sheetId="8" r:id="rId7"/>
    <sheet name="Costs - Optional" sheetId="9" r:id="rId8"/>
    <sheet name="Sheet1" sheetId="1" r:id="rId9"/>
  </sheets>
  <externalReferences>
    <externalReference r:id="rId10"/>
    <externalReference r:id="rId11"/>
  </externalReferences>
  <definedNames>
    <definedName name="_xlnm._FilterDatabase" localSheetId="0" hidden="1">'Application Info'!$A$1:$IO$86</definedName>
    <definedName name="_xlnm._FilterDatabase" localSheetId="2" hidden="1">'Business Info'!$A$1:$IP$100</definedName>
    <definedName name="_xlnm._FilterDatabase" localSheetId="7" hidden="1">'Costs - Optional'!$A$1:$H$104</definedName>
    <definedName name="_xlnm._FilterDatabase" localSheetId="6" hidden="1">Maintenance!$A$1:$IP$100</definedName>
    <definedName name="_xlnm._FilterDatabase" localSheetId="1" hidden="1">Stakeholders!$A$1:$G$104</definedName>
    <definedName name="_xlnm._FilterDatabase" localSheetId="3" hidden="1">'Technical Info'!$A$1:$IR$101</definedName>
    <definedName name="_xlnm._FilterDatabase" localSheetId="4" hidden="1">'Technical Platforms'!$A$1:$IP$100</definedName>
    <definedName name="_xlnm._FilterDatabase" localSheetId="5" hidden="1">Usage!$A$1:$IP$100</definedName>
    <definedName name="Applicatino_response">[1]Usage!$GE$2:$GE$7</definedName>
    <definedName name="Application_Age" localSheetId="2">'[1]Application Info'!$GF$2:$GF$7</definedName>
    <definedName name="Application_Age" localSheetId="7">'[1]Application Info'!$GF$2:$GF$7</definedName>
    <definedName name="Application_Age" localSheetId="6">'[1]Application Info'!$GF$2:$GF$7</definedName>
    <definedName name="Application_Age" localSheetId="1">'[1]Application Info'!$GF$2:$GF$7</definedName>
    <definedName name="Application_Age" localSheetId="3">'[1]Application Info'!$GF$2:$GF$7</definedName>
    <definedName name="Application_Age" localSheetId="4">'[1]Application Info'!$GF$2:$GF$7</definedName>
    <definedName name="Application_Age" localSheetId="5">'[1]Application Info'!$GF$2:$GF$7</definedName>
    <definedName name="Application_Age">'Application Info'!$GF$2:$GF$7</definedName>
    <definedName name="Application_Complexity">'[1]Technical Info'!$GH$2:$GH$6</definedName>
    <definedName name="Application_Criticality">'[1]Business Info'!$GE$2:$GE$6</definedName>
    <definedName name="Application_Dev_Tech">'[1]Technical Info'!$GE$2:$GE$60</definedName>
    <definedName name="Application_last_accessed">[1]Maintenance!$GD$2:$GD$5</definedName>
    <definedName name="Application_Load_Variation">[1]Usage!$GG$2:$GG$4</definedName>
    <definedName name="Application_Type_EY" localSheetId="2">'[1]Application Info'!$GE$2:$GE$6</definedName>
    <definedName name="Application_Type_EY" localSheetId="7">'[1]Application Info'!$GE$2:$GE$6</definedName>
    <definedName name="Application_Type_EY" localSheetId="6">'[1]Application Info'!$GE$2:$GE$6</definedName>
    <definedName name="Application_Type_EY" localSheetId="1">'[1]Application Info'!$GE$2:$GE$6</definedName>
    <definedName name="Application_Type_EY" localSheetId="3">'[1]Application Info'!$GE$2:$GE$6</definedName>
    <definedName name="Application_Type_EY" localSheetId="4">'[1]Application Info'!$GE$2:$GE$6</definedName>
    <definedName name="Application_Type_EY" localSheetId="5">'[1]Application Info'!$GE$2:$GE$6</definedName>
    <definedName name="Application_Type_EY">'Application Info'!$GE$2:$GE$6</definedName>
    <definedName name="Architecture_Style">'[1]Technical Info'!$GB$2:$GB$10</definedName>
    <definedName name="Audience">[1]Usage!$GC$2:$GC$5</definedName>
    <definedName name="Business_change_3_months">[1]Maintenance!$GC$2:$GC$7</definedName>
    <definedName name="business_layer">'[1]Technical Platforms'!$GB$2:$GB$91</definedName>
    <definedName name="Business_User_satisfication">'[1]Business Info'!$GI$2:$GI$6</definedName>
    <definedName name="Criticality_Interface">'[1]Technical Info'!$GG$2:$GG$9</definedName>
    <definedName name="data_layer">'[1]Technical Platforms'!$GC$2:$GC$58</definedName>
    <definedName name="Functional_Fitness">'[1]Business Info'!$GH$2:$GH$6</definedName>
    <definedName name="hardware_plat">'[1]Technical Platforms'!$GD$2:$GD$74</definedName>
    <definedName name="Infosec_Classification">'[1]Business Info'!$GF$2:$GF$6</definedName>
    <definedName name="Integration_architecture">'[1]Technical Info'!$GD$2:$GD$15</definedName>
    <definedName name="IT_portfolio" localSheetId="2">'[1]Application Info'!$GD$2:$GD$6</definedName>
    <definedName name="IT_portfolio" localSheetId="7">'[1]Application Info'!$GD$2:$GD$6</definedName>
    <definedName name="IT_portfolio" localSheetId="6">'[1]Application Info'!$GD$2:$GD$6</definedName>
    <definedName name="IT_portfolio" localSheetId="1">'[1]Application Info'!$GD$2:$GD$6</definedName>
    <definedName name="IT_portfolio" localSheetId="3">'[1]Application Info'!$GD$2:$GD$6</definedName>
    <definedName name="IT_portfolio" localSheetId="4">'[1]Application Info'!$GD$2:$GD$6</definedName>
    <definedName name="IT_portfolio" localSheetId="5">'[1]Application Info'!$GD$2:$GD$6</definedName>
    <definedName name="IT_portfolio">'Application Info'!$GD$2:$GD$6</definedName>
    <definedName name="Line_Of_Business">'[1]Business Info'!$GC$2:$GC$2</definedName>
    <definedName name="Names">#REF!</definedName>
    <definedName name="Namess">#REF!</definedName>
    <definedName name="No_of_App_Users">[1]Usage!$GB$2:$GB$11</definedName>
    <definedName name="operating_sys">'[1]Technical Platforms'!$GE$2:$GE$38</definedName>
    <definedName name="Pace_Layer">'[1]Technical Info'!$GI$2:$GI$7</definedName>
    <definedName name="Presentation_Layer">'[1]Technical Info'!$GC$2:$GC$10</definedName>
    <definedName name="Programmin_tech">'[1]Technical Platforms'!$GF$2:$GF$67</definedName>
    <definedName name="Red_box" localSheetId="2">'[1]Application Info'!$GC$2:$GC$7</definedName>
    <definedName name="Red_box" localSheetId="7">'[1]Application Info'!$GC$2:$GC$7</definedName>
    <definedName name="Red_box" localSheetId="6">'[1]Application Info'!$GC$2:$GC$7</definedName>
    <definedName name="Red_box" localSheetId="1">'[1]Application Info'!$GC$2:$GC$7</definedName>
    <definedName name="Red_box" localSheetId="3">'[1]Application Info'!$GC$2:$GC$7</definedName>
    <definedName name="Red_box" localSheetId="4">'[1]Application Info'!$GC$2:$GC$7</definedName>
    <definedName name="Red_box" localSheetId="5">'[1]Application Info'!$GC$2:$GC$7</definedName>
    <definedName name="Red_box">'Application Info'!$GC$2:$GC$7</definedName>
    <definedName name="Region" localSheetId="2">'[1]Application Info'!$GB$2:$GB$6</definedName>
    <definedName name="Region" localSheetId="7">'[1]Application Info'!$GB$2:$GB$6</definedName>
    <definedName name="Region" localSheetId="6">'[1]Application Info'!$GB$2:$GB$6</definedName>
    <definedName name="Region" localSheetId="1">'[1]Application Info'!$GB$2:$GB$6</definedName>
    <definedName name="Region" localSheetId="3">'[1]Application Info'!$GB$2:$GB$6</definedName>
    <definedName name="Region" localSheetId="4">'[1]Application Info'!$GB$2:$GB$6</definedName>
    <definedName name="Region" localSheetId="5">'[1]Application Info'!$GB$2:$GB$6</definedName>
    <definedName name="Region">'Application Info'!$GB$2:$GB$7</definedName>
    <definedName name="Regulatory_Compilance">'[1]Business Info'!$GG$2:$GG$9</definedName>
    <definedName name="Stability_Performance_Issue">[1]Usage!$GF$2:$GF$7</definedName>
    <definedName name="Strategic_bu_group">'[1]Business Info'!$GB$2:$GB$2</definedName>
    <definedName name="Strategic_Indicator">'[1]Business Info'!$GD$2:$GD$4</definedName>
    <definedName name="Tickets_3_months">[1]Maintenance!$GB$2:$GB$7</definedName>
    <definedName name="TOPAZ_Indicator" localSheetId="2">'[1]Application Info'!$GG$2:$GG$8</definedName>
    <definedName name="TOPAZ_Indicator" localSheetId="7">'[1]Application Info'!$GG$2:$GG$8</definedName>
    <definedName name="TOPAZ_Indicator" localSheetId="6">'[1]Application Info'!$GG$2:$GG$8</definedName>
    <definedName name="TOPAZ_Indicator" localSheetId="1">'[1]Application Info'!$GG$2:$GG$8</definedName>
    <definedName name="TOPAZ_Indicator" localSheetId="3">'[1]Application Info'!$GG$2:$GG$8</definedName>
    <definedName name="TOPAZ_Indicator" localSheetId="4">'[1]Application Info'!$GG$2:$GG$8</definedName>
    <definedName name="TOPAZ_Indicator" localSheetId="5">'[1]Application Info'!$GG$2:$GG$8</definedName>
    <definedName name="TOPAZ_Indicator">'Application Info'!$GG$2:$GG$8</definedName>
    <definedName name="Usage_growth_trend">[1]Usage!$GD$2:$GD$7</definedName>
    <definedName name="Virtualisation_support">'[1]Technical Info'!$GF$2:$GF$5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5" l="1"/>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2" i="5"/>
  <c r="O86" i="2"/>
  <c r="O85" i="2"/>
  <c r="O84" i="2"/>
  <c r="O83" i="2"/>
  <c r="O82" i="2"/>
  <c r="O81" i="2"/>
  <c r="O80" i="2"/>
  <c r="O79" i="2"/>
  <c r="O77" i="2"/>
  <c r="O76" i="2"/>
  <c r="O75" i="2"/>
  <c r="O74" i="2"/>
  <c r="O73" i="2"/>
  <c r="O72" i="2"/>
  <c r="O71" i="2"/>
  <c r="O70" i="2"/>
  <c r="O69" i="2"/>
  <c r="O68" i="2"/>
  <c r="O67" i="2"/>
  <c r="O66" i="2"/>
  <c r="O65" i="2"/>
  <c r="O64" i="2"/>
  <c r="O63" i="2"/>
  <c r="O62" i="2"/>
  <c r="O61" i="2"/>
  <c r="O60" i="2"/>
  <c r="O58" i="2"/>
  <c r="O57" i="2"/>
  <c r="O55" i="2"/>
  <c r="O54" i="2"/>
  <c r="O53" i="2"/>
  <c r="O52" i="2"/>
  <c r="O49" i="2"/>
  <c r="O48" i="2"/>
  <c r="O47" i="2"/>
  <c r="O46" i="2"/>
  <c r="O45" i="2"/>
  <c r="O44" i="2"/>
  <c r="O43" i="2"/>
  <c r="O42" i="2"/>
  <c r="O41" i="2"/>
  <c r="O40" i="2"/>
  <c r="O39" i="2"/>
  <c r="O37" i="2"/>
  <c r="O36" i="2"/>
  <c r="O35" i="2"/>
  <c r="O33" i="2"/>
  <c r="O32" i="2"/>
  <c r="O31" i="2"/>
  <c r="O30" i="2"/>
  <c r="O29" i="2"/>
  <c r="O28" i="2"/>
  <c r="O27" i="2"/>
  <c r="O25" i="2"/>
  <c r="O24" i="2"/>
  <c r="O23" i="2"/>
  <c r="O22" i="2"/>
  <c r="O20" i="2"/>
  <c r="O19" i="2"/>
  <c r="O18" i="2"/>
  <c r="O17" i="2"/>
  <c r="O16" i="2"/>
  <c r="O15" i="2"/>
  <c r="O14" i="2"/>
  <c r="O13" i="2"/>
  <c r="O12" i="2"/>
  <c r="O11" i="2"/>
  <c r="O10" i="2"/>
  <c r="O9" i="2"/>
  <c r="O8" i="2"/>
  <c r="O7" i="2"/>
  <c r="O6" i="2"/>
  <c r="O4" i="2"/>
  <c r="O3" i="2"/>
  <c r="O2"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 r="R3" i="2" l="1"/>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2" i="2"/>
  <c r="R86" i="2"/>
  <c r="R85" i="2"/>
  <c r="R84" i="2"/>
  <c r="R83" i="2"/>
  <c r="R82" i="2"/>
  <c r="R81" i="2"/>
  <c r="R80" i="2"/>
  <c r="R79" i="2"/>
  <c r="R78" i="2"/>
  <c r="R77" i="2"/>
  <c r="R76" i="2"/>
  <c r="R75" i="2"/>
  <c r="R74" i="2"/>
  <c r="R73" i="2"/>
  <c r="R72" i="2"/>
  <c r="R71" i="2"/>
  <c r="R70" i="2"/>
  <c r="R69" i="2"/>
  <c r="R68" i="2"/>
  <c r="R67" i="2"/>
  <c r="R66" i="2"/>
  <c r="R65" i="2"/>
  <c r="R64" i="2"/>
  <c r="R63" i="2"/>
  <c r="R62" i="2"/>
  <c r="R61" i="2"/>
  <c r="R60" i="2"/>
  <c r="R59" i="2"/>
  <c r="R58" i="2"/>
  <c r="R57" i="2"/>
  <c r="C100" i="8" l="1"/>
  <c r="B100" i="8"/>
  <c r="C99" i="8"/>
  <c r="B99" i="8"/>
  <c r="C98" i="8"/>
  <c r="B98" i="8"/>
  <c r="C97" i="8"/>
  <c r="B97" i="8"/>
  <c r="C96" i="8"/>
  <c r="B96" i="8"/>
  <c r="C95" i="8"/>
  <c r="B95" i="8"/>
  <c r="C94" i="8"/>
  <c r="B94" i="8"/>
  <c r="C93" i="8"/>
  <c r="B93" i="8"/>
  <c r="C92" i="8"/>
  <c r="B92" i="8"/>
  <c r="C91" i="8"/>
  <c r="B91" i="8"/>
  <c r="C90" i="8"/>
  <c r="B90" i="8"/>
  <c r="C89" i="8"/>
  <c r="B89" i="8"/>
  <c r="C88" i="8"/>
  <c r="B88" i="8"/>
  <c r="C87" i="8"/>
  <c r="B87" i="8"/>
  <c r="C86" i="8"/>
  <c r="B86" i="8"/>
  <c r="C85" i="8"/>
  <c r="B85" i="8"/>
  <c r="C84" i="8"/>
  <c r="B84" i="8"/>
  <c r="C83" i="8"/>
  <c r="B83" i="8"/>
  <c r="C82" i="8"/>
  <c r="B82" i="8"/>
  <c r="C81" i="8"/>
  <c r="B81" i="8"/>
  <c r="C80" i="8"/>
  <c r="B80" i="8"/>
  <c r="C79" i="8"/>
  <c r="B79" i="8"/>
  <c r="C78" i="8"/>
  <c r="B78" i="8"/>
  <c r="C77" i="8"/>
  <c r="B77" i="8"/>
  <c r="C76" i="8"/>
  <c r="B76" i="8"/>
  <c r="C75" i="8"/>
  <c r="B75" i="8"/>
  <c r="C74" i="8"/>
  <c r="B74" i="8"/>
  <c r="C73" i="8"/>
  <c r="B73" i="8"/>
  <c r="C72" i="8"/>
  <c r="B72" i="8"/>
  <c r="C71" i="8"/>
  <c r="B71" i="8"/>
  <c r="C70" i="8"/>
  <c r="B70" i="8"/>
  <c r="C69" i="8"/>
  <c r="B69" i="8"/>
  <c r="C68" i="8"/>
  <c r="B68" i="8"/>
  <c r="C67" i="8"/>
  <c r="B67" i="8"/>
  <c r="C66" i="8"/>
  <c r="B66" i="8"/>
  <c r="C65" i="8"/>
  <c r="B65" i="8"/>
  <c r="C64" i="8"/>
  <c r="B64" i="8"/>
  <c r="C63" i="8"/>
  <c r="B63" i="8"/>
  <c r="C62" i="8"/>
  <c r="B62" i="8"/>
  <c r="C61" i="8"/>
  <c r="B61" i="8"/>
  <c r="C60" i="8"/>
  <c r="B60" i="8"/>
  <c r="C59" i="8"/>
  <c r="B59" i="8"/>
  <c r="C58" i="8"/>
  <c r="B58" i="8"/>
  <c r="C57" i="8"/>
  <c r="B57" i="8"/>
  <c r="C56" i="8"/>
  <c r="B56" i="8"/>
  <c r="C55" i="8"/>
  <c r="B55" i="8"/>
  <c r="C54" i="8"/>
  <c r="B54" i="8"/>
  <c r="C53" i="8"/>
  <c r="B53" i="8"/>
  <c r="C52" i="8"/>
  <c r="B52" i="8"/>
  <c r="C51" i="8"/>
  <c r="B51" i="8"/>
  <c r="C50" i="8"/>
  <c r="B50" i="8"/>
  <c r="C49" i="8"/>
  <c r="B49" i="8"/>
  <c r="C48" i="8"/>
  <c r="B48" i="8"/>
  <c r="C47" i="8"/>
  <c r="B47" i="8"/>
  <c r="C46" i="8"/>
  <c r="B46" i="8"/>
  <c r="C45" i="8"/>
  <c r="B45" i="8"/>
  <c r="C44" i="8"/>
  <c r="B44" i="8"/>
  <c r="C43" i="8"/>
  <c r="B43" i="8"/>
  <c r="C42" i="8"/>
  <c r="B42" i="8"/>
  <c r="C41" i="8"/>
  <c r="B41" i="8"/>
  <c r="C40" i="8"/>
  <c r="B40" i="8"/>
  <c r="C39" i="8"/>
  <c r="B39" i="8"/>
  <c r="C38" i="8"/>
  <c r="B38" i="8"/>
  <c r="C37" i="8"/>
  <c r="B37" i="8"/>
  <c r="C36" i="8"/>
  <c r="B36" i="8"/>
  <c r="C35" i="8"/>
  <c r="B35" i="8"/>
  <c r="C34" i="8"/>
  <c r="B34" i="8"/>
  <c r="C33" i="8"/>
  <c r="B33" i="8"/>
  <c r="C32" i="8"/>
  <c r="B32" i="8"/>
  <c r="C31" i="8"/>
  <c r="B31" i="8"/>
  <c r="C30" i="8"/>
  <c r="B30" i="8"/>
  <c r="C29" i="8"/>
  <c r="B29" i="8"/>
  <c r="C28" i="8"/>
  <c r="B28" i="8"/>
  <c r="C27" i="8"/>
  <c r="B27" i="8"/>
  <c r="C26" i="8"/>
  <c r="B26" i="8"/>
  <c r="C25" i="8"/>
  <c r="B25" i="8"/>
  <c r="C24" i="8"/>
  <c r="B24" i="8"/>
  <c r="C23" i="8"/>
  <c r="B23" i="8"/>
  <c r="C22" i="8"/>
  <c r="B22" i="8"/>
  <c r="C21" i="8"/>
  <c r="B21" i="8"/>
  <c r="C20" i="8"/>
  <c r="B20" i="8"/>
  <c r="C19" i="8"/>
  <c r="B19" i="8"/>
  <c r="C18" i="8"/>
  <c r="B18" i="8"/>
  <c r="C17" i="8"/>
  <c r="B17" i="8"/>
  <c r="C16" i="8"/>
  <c r="B16" i="8"/>
  <c r="C15" i="8"/>
  <c r="B15" i="8"/>
  <c r="C14" i="8"/>
  <c r="B14" i="8"/>
  <c r="C13" i="8"/>
  <c r="B13" i="8"/>
  <c r="C12" i="8"/>
  <c r="B12" i="8"/>
  <c r="C11" i="8"/>
  <c r="B11" i="8"/>
  <c r="C10" i="8"/>
  <c r="B10" i="8"/>
  <c r="C9" i="8"/>
  <c r="B9" i="8"/>
  <c r="C8" i="8"/>
  <c r="B8" i="8"/>
  <c r="C7" i="8"/>
  <c r="B7" i="8"/>
  <c r="C6" i="8"/>
  <c r="B6" i="8"/>
  <c r="C5" i="8"/>
  <c r="B5" i="8"/>
  <c r="C4" i="8"/>
  <c r="B4" i="8"/>
  <c r="C3" i="8"/>
  <c r="B3" i="8"/>
  <c r="C2" i="8"/>
  <c r="B2" i="8"/>
  <c r="C100" i="7"/>
  <c r="B100" i="7"/>
  <c r="C99" i="7"/>
  <c r="B99" i="7"/>
  <c r="C98" i="7"/>
  <c r="B98" i="7"/>
  <c r="C97" i="7"/>
  <c r="B97" i="7"/>
  <c r="C96" i="7"/>
  <c r="B96" i="7"/>
  <c r="C95" i="7"/>
  <c r="B95" i="7"/>
  <c r="C94" i="7"/>
  <c r="B94" i="7"/>
  <c r="C93" i="7"/>
  <c r="B93" i="7"/>
  <c r="C92" i="7"/>
  <c r="B92" i="7"/>
  <c r="C91" i="7"/>
  <c r="B91" i="7"/>
  <c r="C90" i="7"/>
  <c r="B90" i="7"/>
  <c r="C89" i="7"/>
  <c r="B89" i="7"/>
  <c r="C88" i="7"/>
  <c r="B88" i="7"/>
  <c r="C87" i="7"/>
  <c r="B87" i="7"/>
  <c r="C86" i="7"/>
  <c r="B86" i="7"/>
  <c r="C85" i="7"/>
  <c r="B85" i="7"/>
  <c r="C84" i="7"/>
  <c r="B84" i="7"/>
  <c r="C83" i="7"/>
  <c r="B83" i="7"/>
  <c r="C82" i="7"/>
  <c r="B82" i="7"/>
  <c r="C81" i="7"/>
  <c r="B81" i="7"/>
  <c r="C80" i="7"/>
  <c r="B80" i="7"/>
  <c r="C79" i="7"/>
  <c r="B79" i="7"/>
  <c r="C78" i="7"/>
  <c r="B78" i="7"/>
  <c r="C77" i="7"/>
  <c r="B77" i="7"/>
  <c r="C76" i="7"/>
  <c r="B76" i="7"/>
  <c r="C75" i="7"/>
  <c r="B75" i="7"/>
  <c r="C74" i="7"/>
  <c r="B74" i="7"/>
  <c r="C73" i="7"/>
  <c r="B73" i="7"/>
  <c r="C72" i="7"/>
  <c r="B72" i="7"/>
  <c r="C71" i="7"/>
  <c r="B71" i="7"/>
  <c r="C70" i="7"/>
  <c r="B70" i="7"/>
  <c r="C69" i="7"/>
  <c r="B69" i="7"/>
  <c r="C68" i="7"/>
  <c r="B68" i="7"/>
  <c r="C67" i="7"/>
  <c r="B67" i="7"/>
  <c r="C66" i="7"/>
  <c r="B66" i="7"/>
  <c r="C65" i="7"/>
  <c r="B65" i="7"/>
  <c r="C64" i="7"/>
  <c r="B64" i="7"/>
  <c r="C63" i="7"/>
  <c r="B63" i="7"/>
  <c r="C62" i="7"/>
  <c r="B62" i="7"/>
  <c r="C61" i="7"/>
  <c r="B61" i="7"/>
  <c r="C60" i="7"/>
  <c r="B60" i="7"/>
  <c r="C59" i="7"/>
  <c r="B59" i="7"/>
  <c r="C58" i="7"/>
  <c r="B58" i="7"/>
  <c r="C57" i="7"/>
  <c r="B57" i="7"/>
  <c r="C56" i="7"/>
  <c r="B56" i="7"/>
  <c r="C55" i="7"/>
  <c r="B55" i="7"/>
  <c r="C54" i="7"/>
  <c r="B54" i="7"/>
  <c r="C53" i="7"/>
  <c r="B53" i="7"/>
  <c r="C52" i="7"/>
  <c r="B52" i="7"/>
  <c r="C51" i="7"/>
  <c r="B51" i="7"/>
  <c r="C50" i="7"/>
  <c r="B50" i="7"/>
  <c r="C49" i="7"/>
  <c r="B49" i="7"/>
  <c r="C48" i="7"/>
  <c r="B48" i="7"/>
  <c r="C47" i="7"/>
  <c r="B47" i="7"/>
  <c r="C46" i="7"/>
  <c r="B46" i="7"/>
  <c r="C45" i="7"/>
  <c r="B45" i="7"/>
  <c r="C44" i="7"/>
  <c r="B44" i="7"/>
  <c r="C43" i="7"/>
  <c r="B43" i="7"/>
  <c r="C42" i="7"/>
  <c r="B42" i="7"/>
  <c r="C41" i="7"/>
  <c r="B41" i="7"/>
  <c r="C40" i="7"/>
  <c r="B40" i="7"/>
  <c r="C39" i="7"/>
  <c r="B39" i="7"/>
  <c r="C38" i="7"/>
  <c r="B38" i="7"/>
  <c r="C37" i="7"/>
  <c r="B37" i="7"/>
  <c r="C36" i="7"/>
  <c r="B36" i="7"/>
  <c r="C35" i="7"/>
  <c r="B35" i="7"/>
  <c r="C34" i="7"/>
  <c r="B34" i="7"/>
  <c r="C33" i="7"/>
  <c r="B33" i="7"/>
  <c r="C32" i="7"/>
  <c r="B32" i="7"/>
  <c r="C31" i="7"/>
  <c r="B31" i="7"/>
  <c r="C30" i="7"/>
  <c r="B30" i="7"/>
  <c r="C29" i="7"/>
  <c r="B29" i="7"/>
  <c r="C28" i="7"/>
  <c r="B28" i="7"/>
  <c r="C27" i="7"/>
  <c r="B27" i="7"/>
  <c r="C26" i="7"/>
  <c r="B26" i="7"/>
  <c r="C25" i="7"/>
  <c r="B25" i="7"/>
  <c r="C24" i="7"/>
  <c r="B24" i="7"/>
  <c r="C23" i="7"/>
  <c r="B23" i="7"/>
  <c r="C22" i="7"/>
  <c r="B22" i="7"/>
  <c r="C21" i="7"/>
  <c r="B21" i="7"/>
  <c r="C20" i="7"/>
  <c r="B20" i="7"/>
  <c r="C19" i="7"/>
  <c r="B19" i="7"/>
  <c r="C18" i="7"/>
  <c r="B18" i="7"/>
  <c r="C17" i="7"/>
  <c r="B17" i="7"/>
  <c r="C16" i="7"/>
  <c r="B16" i="7"/>
  <c r="C15" i="7"/>
  <c r="B15" i="7"/>
  <c r="C14" i="7"/>
  <c r="B14" i="7"/>
  <c r="C13" i="7"/>
  <c r="B13" i="7"/>
  <c r="C12" i="7"/>
  <c r="B12" i="7"/>
  <c r="C11" i="7"/>
  <c r="B11" i="7"/>
  <c r="C10" i="7"/>
  <c r="B10" i="7"/>
  <c r="C9" i="7"/>
  <c r="B9" i="7"/>
  <c r="C8" i="7"/>
  <c r="B8" i="7"/>
  <c r="C7" i="7"/>
  <c r="B7" i="7"/>
  <c r="C6" i="7"/>
  <c r="B6" i="7"/>
  <c r="C5" i="7"/>
  <c r="B5" i="7"/>
  <c r="C4" i="7"/>
  <c r="B4" i="7"/>
  <c r="C3" i="7"/>
  <c r="B3" i="7"/>
  <c r="C2" i="7"/>
  <c r="B2" i="7"/>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C3" i="6"/>
  <c r="B3" i="6"/>
  <c r="C2" i="6"/>
  <c r="B2" i="6"/>
  <c r="B3" i="5"/>
  <c r="C3" i="5"/>
  <c r="B4" i="5"/>
  <c r="C4" i="5"/>
  <c r="B5" i="5"/>
  <c r="C5" i="5"/>
  <c r="B6" i="5"/>
  <c r="C6" i="5"/>
  <c r="B7" i="5"/>
  <c r="C7" i="5"/>
  <c r="B8" i="5"/>
  <c r="C8" i="5"/>
  <c r="B9" i="5"/>
  <c r="C9" i="5"/>
  <c r="B10" i="5"/>
  <c r="C10" i="5"/>
  <c r="B11" i="5"/>
  <c r="C11" i="5"/>
  <c r="B12" i="5"/>
  <c r="C12" i="5"/>
  <c r="B13" i="5"/>
  <c r="C13" i="5"/>
  <c r="B14" i="5"/>
  <c r="C14" i="5"/>
  <c r="B15" i="5"/>
  <c r="C15" i="5"/>
  <c r="B16" i="5"/>
  <c r="C16" i="5"/>
  <c r="B17" i="5"/>
  <c r="C17" i="5"/>
  <c r="B18" i="5"/>
  <c r="C18" i="5"/>
  <c r="B19" i="5"/>
  <c r="C19" i="5"/>
  <c r="B20" i="5"/>
  <c r="C20" i="5"/>
  <c r="B21" i="5"/>
  <c r="C21" i="5"/>
  <c r="B22" i="5"/>
  <c r="C22" i="5"/>
  <c r="B23" i="5"/>
  <c r="C23" i="5"/>
  <c r="B24" i="5"/>
  <c r="C24" i="5"/>
  <c r="B25" i="5"/>
  <c r="C25" i="5"/>
  <c r="B26" i="5"/>
  <c r="C26" i="5"/>
  <c r="B27" i="5"/>
  <c r="C27" i="5"/>
  <c r="B28" i="5"/>
  <c r="C28" i="5"/>
  <c r="B29" i="5"/>
  <c r="C29" i="5"/>
  <c r="B30" i="5"/>
  <c r="C30" i="5"/>
  <c r="B31" i="5"/>
  <c r="C31" i="5"/>
  <c r="B32" i="5"/>
  <c r="C32" i="5"/>
  <c r="B33" i="5"/>
  <c r="C33" i="5"/>
  <c r="B34" i="5"/>
  <c r="C34" i="5"/>
  <c r="B35" i="5"/>
  <c r="C35" i="5"/>
  <c r="B36" i="5"/>
  <c r="C36" i="5"/>
  <c r="B37" i="5"/>
  <c r="C37" i="5"/>
  <c r="B38" i="5"/>
  <c r="C38" i="5"/>
  <c r="B39" i="5"/>
  <c r="C39" i="5"/>
  <c r="B40" i="5"/>
  <c r="C40" i="5"/>
  <c r="B41" i="5"/>
  <c r="C41" i="5"/>
  <c r="B42" i="5"/>
  <c r="C42" i="5"/>
  <c r="B43" i="5"/>
  <c r="C43" i="5"/>
  <c r="B44" i="5"/>
  <c r="C44" i="5"/>
  <c r="B45" i="5"/>
  <c r="C45" i="5"/>
  <c r="B46" i="5"/>
  <c r="C46" i="5"/>
  <c r="B47" i="5"/>
  <c r="C47" i="5"/>
  <c r="B48" i="5"/>
  <c r="C48" i="5"/>
  <c r="B49" i="5"/>
  <c r="C49" i="5"/>
  <c r="B50" i="5"/>
  <c r="C50" i="5"/>
  <c r="B51" i="5"/>
  <c r="C51" i="5"/>
  <c r="B52" i="5"/>
  <c r="C52" i="5"/>
  <c r="B53" i="5"/>
  <c r="C53" i="5"/>
  <c r="B54" i="5"/>
  <c r="C54" i="5"/>
  <c r="B55" i="5"/>
  <c r="C55" i="5"/>
  <c r="B56" i="5"/>
  <c r="C56" i="5"/>
  <c r="B57" i="5"/>
  <c r="C57" i="5"/>
  <c r="B58" i="5"/>
  <c r="C58" i="5"/>
  <c r="B59" i="5"/>
  <c r="C59" i="5"/>
  <c r="B60" i="5"/>
  <c r="C60" i="5"/>
  <c r="B61" i="5"/>
  <c r="C61" i="5"/>
  <c r="B62" i="5"/>
  <c r="C62" i="5"/>
  <c r="B63" i="5"/>
  <c r="C63" i="5"/>
  <c r="B64" i="5"/>
  <c r="C64" i="5"/>
  <c r="B65" i="5"/>
  <c r="C65" i="5"/>
  <c r="B66" i="5"/>
  <c r="C66" i="5"/>
  <c r="B67" i="5"/>
  <c r="C67" i="5"/>
  <c r="B68" i="5"/>
  <c r="C68" i="5"/>
  <c r="B69" i="5"/>
  <c r="C69" i="5"/>
  <c r="B70" i="5"/>
  <c r="C70" i="5"/>
  <c r="B71" i="5"/>
  <c r="C71" i="5"/>
  <c r="B72" i="5"/>
  <c r="C72" i="5"/>
  <c r="B73" i="5"/>
  <c r="C73" i="5"/>
  <c r="B74" i="5"/>
  <c r="C74" i="5"/>
  <c r="B75" i="5"/>
  <c r="C75" i="5"/>
  <c r="B76" i="5"/>
  <c r="C76" i="5"/>
  <c r="B77" i="5"/>
  <c r="C77" i="5"/>
  <c r="B78" i="5"/>
  <c r="C78" i="5"/>
  <c r="B79" i="5"/>
  <c r="C79" i="5"/>
  <c r="B80" i="5"/>
  <c r="C80" i="5"/>
  <c r="B81" i="5"/>
  <c r="C81" i="5"/>
  <c r="B82" i="5"/>
  <c r="C82" i="5"/>
  <c r="B83" i="5"/>
  <c r="C83" i="5"/>
  <c r="B84" i="5"/>
  <c r="C84" i="5"/>
  <c r="B85" i="5"/>
  <c r="C85" i="5"/>
  <c r="B86" i="5"/>
  <c r="C86" i="5"/>
  <c r="B87" i="5"/>
  <c r="C87" i="5"/>
  <c r="B88" i="5"/>
  <c r="C88" i="5"/>
  <c r="B89" i="5"/>
  <c r="C89" i="5"/>
  <c r="B90" i="5"/>
  <c r="C90" i="5"/>
  <c r="B91" i="5"/>
  <c r="C91" i="5"/>
  <c r="B92" i="5"/>
  <c r="C92" i="5"/>
  <c r="B93" i="5"/>
  <c r="C93" i="5"/>
  <c r="B94" i="5"/>
  <c r="C94" i="5"/>
  <c r="B95" i="5"/>
  <c r="C95" i="5"/>
  <c r="B96" i="5"/>
  <c r="C96" i="5"/>
  <c r="B97" i="5"/>
  <c r="C97" i="5"/>
  <c r="B98" i="5"/>
  <c r="C98" i="5"/>
  <c r="B99" i="5"/>
  <c r="C99" i="5"/>
  <c r="B100" i="5"/>
  <c r="C100" i="5"/>
  <c r="B101" i="5"/>
  <c r="C101" i="5"/>
  <c r="C2" i="5"/>
  <c r="B2" i="5"/>
  <c r="C100" i="4"/>
  <c r="B100" i="4"/>
  <c r="C99" i="4"/>
  <c r="B99" i="4"/>
  <c r="C98" i="4"/>
  <c r="B98" i="4"/>
  <c r="C97" i="4"/>
  <c r="B97" i="4"/>
  <c r="C96" i="4"/>
  <c r="B96" i="4"/>
  <c r="C95" i="4"/>
  <c r="B95" i="4"/>
  <c r="C94" i="4"/>
  <c r="B94" i="4"/>
  <c r="C93" i="4"/>
  <c r="B93" i="4"/>
  <c r="C92" i="4"/>
  <c r="B92" i="4"/>
  <c r="C91" i="4"/>
  <c r="B91" i="4"/>
  <c r="C90" i="4"/>
  <c r="B90" i="4"/>
  <c r="C89" i="4"/>
  <c r="B89" i="4"/>
  <c r="C88" i="4"/>
  <c r="B88" i="4"/>
  <c r="C87" i="4"/>
  <c r="B87" i="4"/>
  <c r="C86" i="4"/>
  <c r="B86" i="4"/>
  <c r="C85" i="4"/>
  <c r="B85" i="4"/>
  <c r="C84" i="4"/>
  <c r="B84" i="4"/>
  <c r="C83" i="4"/>
  <c r="B83" i="4"/>
  <c r="C82" i="4"/>
  <c r="B82" i="4"/>
  <c r="C81" i="4"/>
  <c r="B81" i="4"/>
  <c r="C80" i="4"/>
  <c r="B80" i="4"/>
  <c r="C79" i="4"/>
  <c r="B79" i="4"/>
  <c r="C78" i="4"/>
  <c r="B78" i="4"/>
  <c r="C77" i="4"/>
  <c r="B77" i="4"/>
  <c r="C76" i="4"/>
  <c r="B76" i="4"/>
  <c r="C75" i="4"/>
  <c r="B75" i="4"/>
  <c r="C74" i="4"/>
  <c r="B74" i="4"/>
  <c r="C73" i="4"/>
  <c r="B73" i="4"/>
  <c r="C72" i="4"/>
  <c r="B72" i="4"/>
  <c r="C71" i="4"/>
  <c r="B71" i="4"/>
  <c r="C70" i="4"/>
  <c r="B70" i="4"/>
  <c r="C69" i="4"/>
  <c r="B69" i="4"/>
  <c r="C68" i="4"/>
  <c r="B68" i="4"/>
  <c r="C67" i="4"/>
  <c r="B67" i="4"/>
  <c r="C66" i="4"/>
  <c r="B66" i="4"/>
  <c r="C65" i="4"/>
  <c r="B65" i="4"/>
  <c r="C64" i="4"/>
  <c r="B64" i="4"/>
  <c r="C63" i="4"/>
  <c r="B63" i="4"/>
  <c r="C62" i="4"/>
  <c r="B62" i="4"/>
  <c r="C61" i="4"/>
  <c r="B61" i="4"/>
  <c r="C60" i="4"/>
  <c r="B60" i="4"/>
  <c r="C59" i="4"/>
  <c r="B59" i="4"/>
  <c r="C58" i="4"/>
  <c r="B58" i="4"/>
  <c r="C57" i="4"/>
  <c r="B57" i="4"/>
  <c r="C56" i="4"/>
  <c r="B56" i="4"/>
  <c r="C55" i="4"/>
  <c r="B55" i="4"/>
  <c r="C54" i="4"/>
  <c r="B54" i="4"/>
  <c r="C53" i="4"/>
  <c r="B53" i="4"/>
  <c r="C52" i="4"/>
  <c r="B52" i="4"/>
  <c r="C51" i="4"/>
  <c r="B51" i="4"/>
  <c r="C50" i="4"/>
  <c r="B50" i="4"/>
  <c r="C49" i="4"/>
  <c r="B49" i="4"/>
  <c r="C48" i="4"/>
  <c r="B48" i="4"/>
  <c r="C47" i="4"/>
  <c r="B47" i="4"/>
  <c r="C46" i="4"/>
  <c r="B46" i="4"/>
  <c r="C45" i="4"/>
  <c r="B45" i="4"/>
  <c r="C44" i="4"/>
  <c r="B44" i="4"/>
  <c r="C43" i="4"/>
  <c r="B43" i="4"/>
  <c r="C42" i="4"/>
  <c r="B42" i="4"/>
  <c r="C41" i="4"/>
  <c r="B41" i="4"/>
  <c r="C40" i="4"/>
  <c r="B40" i="4"/>
  <c r="C39" i="4"/>
  <c r="B39" i="4"/>
  <c r="C38" i="4"/>
  <c r="B38" i="4"/>
  <c r="C37" i="4"/>
  <c r="B37" i="4"/>
  <c r="C36" i="4"/>
  <c r="B36" i="4"/>
  <c r="C35" i="4"/>
  <c r="B35" i="4"/>
  <c r="C34" i="4"/>
  <c r="B34" i="4"/>
  <c r="C33" i="4"/>
  <c r="B33" i="4"/>
  <c r="C32" i="4"/>
  <c r="B32" i="4"/>
  <c r="C31" i="4"/>
  <c r="B31" i="4"/>
  <c r="C30" i="4"/>
  <c r="B30" i="4"/>
  <c r="C29" i="4"/>
  <c r="B29" i="4"/>
  <c r="C28" i="4"/>
  <c r="B28" i="4"/>
  <c r="C27" i="4"/>
  <c r="B27" i="4"/>
  <c r="C26" i="4"/>
  <c r="B26" i="4"/>
  <c r="C25" i="4"/>
  <c r="B25" i="4"/>
  <c r="C24" i="4"/>
  <c r="B24" i="4"/>
  <c r="C23" i="4"/>
  <c r="B23" i="4"/>
  <c r="C22" i="4"/>
  <c r="B22" i="4"/>
  <c r="C21" i="4"/>
  <c r="B21" i="4"/>
  <c r="C20" i="4"/>
  <c r="B20" i="4"/>
  <c r="C19" i="4"/>
  <c r="B19" i="4"/>
  <c r="C18" i="4"/>
  <c r="B18" i="4"/>
  <c r="C17" i="4"/>
  <c r="B17" i="4"/>
  <c r="C16" i="4"/>
  <c r="B16" i="4"/>
  <c r="C15" i="4"/>
  <c r="B15" i="4"/>
  <c r="C14" i="4"/>
  <c r="B14" i="4"/>
  <c r="C13" i="4"/>
  <c r="B13" i="4"/>
  <c r="C12" i="4"/>
  <c r="B12" i="4"/>
  <c r="C11" i="4"/>
  <c r="B11" i="4"/>
  <c r="C10" i="4"/>
  <c r="B10" i="4"/>
  <c r="C9" i="4"/>
  <c r="B9" i="4"/>
  <c r="C8" i="4"/>
  <c r="B8" i="4"/>
  <c r="C7" i="4"/>
  <c r="B7" i="4"/>
  <c r="C6" i="4"/>
  <c r="B6" i="4"/>
  <c r="C5" i="4"/>
  <c r="B5" i="4"/>
  <c r="C4" i="4"/>
  <c r="B4" i="4"/>
  <c r="C3" i="4"/>
  <c r="B3" i="4"/>
  <c r="C2" i="4"/>
  <c r="B2" i="4"/>
  <c r="C102" i="3"/>
  <c r="B102" i="3"/>
  <c r="C101" i="3"/>
  <c r="B101" i="3"/>
  <c r="C100" i="3"/>
  <c r="B100" i="3"/>
  <c r="C99" i="3"/>
  <c r="B99" i="3"/>
  <c r="C98" i="3"/>
  <c r="B98" i="3"/>
  <c r="C97" i="3"/>
  <c r="B97" i="3"/>
  <c r="C96" i="3"/>
  <c r="B96" i="3"/>
  <c r="C95" i="3"/>
  <c r="B95" i="3"/>
  <c r="C94" i="3"/>
  <c r="B94" i="3"/>
  <c r="C93" i="3"/>
  <c r="B93" i="3"/>
  <c r="C92" i="3"/>
  <c r="B92" i="3"/>
  <c r="C91" i="3"/>
  <c r="B91" i="3"/>
  <c r="C90" i="3"/>
  <c r="B90" i="3"/>
  <c r="C89" i="3"/>
  <c r="B89" i="3"/>
  <c r="C88" i="3"/>
  <c r="B88" i="3"/>
  <c r="C87" i="3"/>
  <c r="B87" i="3"/>
  <c r="C86" i="3"/>
  <c r="B86" i="3"/>
  <c r="C85" i="3"/>
  <c r="B85" i="3"/>
  <c r="C84" i="3"/>
  <c r="B84" i="3"/>
  <c r="C83" i="3"/>
  <c r="B83" i="3"/>
  <c r="C82" i="3"/>
  <c r="B82" i="3"/>
  <c r="C81" i="3"/>
  <c r="B81" i="3"/>
  <c r="C80" i="3"/>
  <c r="B80" i="3"/>
  <c r="C79" i="3"/>
  <c r="B79" i="3"/>
  <c r="C78" i="3"/>
  <c r="B78" i="3"/>
  <c r="C77" i="3"/>
  <c r="B77" i="3"/>
  <c r="C76" i="3"/>
  <c r="B76" i="3"/>
  <c r="C75" i="3"/>
  <c r="B75" i="3"/>
  <c r="C74" i="3"/>
  <c r="B74" i="3"/>
  <c r="C73" i="3"/>
  <c r="B73" i="3"/>
  <c r="C72" i="3"/>
  <c r="B72" i="3"/>
  <c r="C71" i="3"/>
  <c r="B71" i="3"/>
  <c r="C70" i="3"/>
  <c r="B70" i="3"/>
  <c r="C69" i="3"/>
  <c r="B69" i="3"/>
  <c r="C68" i="3"/>
  <c r="B68" i="3"/>
  <c r="C67" i="3"/>
  <c r="B67" i="3"/>
  <c r="C66" i="3"/>
  <c r="B66" i="3"/>
  <c r="C65" i="3"/>
  <c r="B65" i="3"/>
  <c r="C64" i="3"/>
  <c r="B64" i="3"/>
  <c r="C63" i="3"/>
  <c r="B63" i="3"/>
  <c r="C62" i="3"/>
  <c r="B62" i="3"/>
  <c r="C61" i="3"/>
  <c r="B61" i="3"/>
  <c r="C60" i="3"/>
  <c r="B60" i="3"/>
  <c r="C59" i="3"/>
  <c r="B59" i="3"/>
  <c r="C58" i="3"/>
  <c r="B58" i="3"/>
  <c r="C57" i="3"/>
  <c r="B57" i="3"/>
  <c r="C56" i="3"/>
  <c r="B56" i="3"/>
  <c r="C55" i="3"/>
  <c r="B55" i="3"/>
  <c r="C54" i="3"/>
  <c r="B54" i="3"/>
  <c r="C53" i="3"/>
  <c r="B53" i="3"/>
  <c r="C52" i="3"/>
  <c r="B52" i="3"/>
  <c r="C51" i="3"/>
  <c r="B51" i="3"/>
  <c r="C50" i="3"/>
  <c r="B50" i="3"/>
  <c r="C49" i="3"/>
  <c r="B49" i="3"/>
  <c r="C48" i="3"/>
  <c r="B48" i="3"/>
  <c r="C47" i="3"/>
  <c r="B47" i="3"/>
  <c r="C46" i="3"/>
  <c r="B46" i="3"/>
  <c r="C45" i="3"/>
  <c r="B45" i="3"/>
  <c r="C44" i="3"/>
  <c r="B44" i="3"/>
  <c r="C43" i="3"/>
  <c r="B43" i="3"/>
  <c r="C42" i="3"/>
  <c r="B42" i="3"/>
  <c r="C41" i="3"/>
  <c r="B41" i="3"/>
  <c r="C40" i="3"/>
  <c r="B40" i="3"/>
  <c r="C39" i="3"/>
  <c r="B39" i="3"/>
  <c r="C38" i="3"/>
  <c r="B38" i="3"/>
  <c r="C37" i="3"/>
  <c r="B37" i="3"/>
  <c r="C36" i="3"/>
  <c r="B36" i="3"/>
  <c r="C35" i="3"/>
  <c r="B35" i="3"/>
  <c r="C34" i="3"/>
  <c r="B34" i="3"/>
  <c r="C33" i="3"/>
  <c r="B33" i="3"/>
  <c r="C32" i="3"/>
  <c r="B32" i="3"/>
  <c r="C31" i="3"/>
  <c r="B31" i="3"/>
  <c r="C30" i="3"/>
  <c r="B30" i="3"/>
  <c r="C29" i="3"/>
  <c r="B29" i="3"/>
  <c r="C28" i="3"/>
  <c r="B28" i="3"/>
  <c r="C27" i="3"/>
  <c r="B27" i="3"/>
  <c r="C26" i="3"/>
  <c r="B26" i="3"/>
  <c r="C25" i="3"/>
  <c r="B25" i="3"/>
  <c r="C24" i="3"/>
  <c r="B24" i="3"/>
  <c r="C23" i="3"/>
  <c r="B23" i="3"/>
  <c r="C22" i="3"/>
  <c r="B22" i="3"/>
  <c r="C21" i="3"/>
  <c r="B21" i="3"/>
  <c r="C20" i="3"/>
  <c r="B20" i="3"/>
  <c r="C19" i="3"/>
  <c r="B19" i="3"/>
  <c r="C18" i="3"/>
  <c r="B18" i="3"/>
  <c r="C17" i="3"/>
  <c r="B17" i="3"/>
  <c r="C16" i="3"/>
  <c r="B16" i="3"/>
  <c r="C15" i="3"/>
  <c r="B15" i="3"/>
  <c r="C14" i="3"/>
  <c r="B14" i="3"/>
  <c r="C13" i="3"/>
  <c r="B13" i="3"/>
  <c r="C12" i="3"/>
  <c r="B12" i="3"/>
  <c r="C11" i="3"/>
  <c r="B11" i="3"/>
  <c r="C10" i="3"/>
  <c r="B10" i="3"/>
  <c r="C9" i="3"/>
  <c r="B9" i="3"/>
  <c r="C8" i="3"/>
  <c r="B8" i="3"/>
  <c r="C7" i="3"/>
  <c r="B7" i="3"/>
  <c r="C6" i="3"/>
  <c r="B6" i="3"/>
  <c r="C5" i="3"/>
  <c r="B5" i="3"/>
  <c r="C4" i="3"/>
  <c r="B4" i="3"/>
  <c r="C3" i="3"/>
  <c r="B3" i="3"/>
  <c r="C2" i="3"/>
  <c r="B2" i="3"/>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BFA12094-FC58-439C-8CF5-62CFDE986C02}">
      <text>
        <r>
          <rPr>
            <sz val="11"/>
            <color indexed="8"/>
            <rFont val="Calibri"/>
            <family val="2"/>
          </rPr>
          <t>Application Unique Identifier ( defined)</t>
        </r>
      </text>
    </comment>
    <comment ref="E1" authorId="0" shapeId="0" xr:uid="{4099E590-17E9-40D8-8697-E82E83EEF8C5}">
      <text>
        <r>
          <rPr>
            <sz val="11"/>
            <color indexed="8"/>
            <rFont val="Calibri"/>
            <family val="2"/>
          </rPr>
          <t>Name of the Application/Business Solution</t>
        </r>
      </text>
    </comment>
    <comment ref="F1" authorId="0" shapeId="0" xr:uid="{6E94DA0E-E49C-42C7-A7B2-A8963061D6B6}">
      <text>
        <r>
          <rPr>
            <sz val="11"/>
            <color indexed="8"/>
            <rFont val="Calibri"/>
            <family val="2"/>
          </rPr>
          <t>Brief description of application stating its functionality and its importance 
to business.</t>
        </r>
      </text>
    </comment>
    <comment ref="G1" authorId="0" shapeId="0" xr:uid="{A4FC36F5-3A36-461C-9EFE-E668A17B7F33}">
      <text>
        <r>
          <rPr>
            <sz val="11"/>
            <color indexed="8"/>
            <rFont val="Calibri"/>
            <family val="2"/>
          </rPr>
          <t>Business Regions / Geographies where the application is used</t>
        </r>
      </text>
    </comment>
    <comment ref="H1" authorId="0" shapeId="0" xr:uid="{542F1C0A-EAC0-497B-8B3D-155C6E3034E6}">
      <text>
        <r>
          <rPr>
            <sz val="11"/>
            <color indexed="8"/>
            <rFont val="Calibri"/>
            <family val="2"/>
          </rPr>
          <t>Identifies the Hosting details of the Application</t>
        </r>
      </text>
    </comment>
    <comment ref="I1" authorId="0" shapeId="0" xr:uid="{14DB3D53-A7E1-45B1-AEBF-4665FB1A95F0}">
      <text>
        <r>
          <rPr>
            <sz val="11"/>
            <color indexed="8"/>
            <rFont val="Calibri"/>
            <family val="2"/>
          </rPr>
          <t>Second level grouping of applications under a Service line as per  terminology</t>
        </r>
      </text>
    </comment>
    <comment ref="J1" authorId="0" shapeId="0" xr:uid="{CD4E2F36-9B78-4D25-8F45-DB3C0DC8E3C2}">
      <text>
        <r>
          <rPr>
            <sz val="11"/>
            <color indexed="8"/>
            <rFont val="Calibri"/>
            <family val="2"/>
          </rPr>
          <t>IT Portfolio is typically responsible for the investment/development /support 
of the application. The naming of the Portfolio is broadly aligned to the 
Service Line structure.</t>
        </r>
      </text>
    </comment>
    <comment ref="K1" authorId="0" shapeId="0" xr:uid="{ED11EDA8-19ED-45FD-8F62-93B54AF8B01C}">
      <text>
        <r>
          <rPr>
            <sz val="11"/>
            <color indexed="8"/>
            <rFont val="Calibri"/>
            <family val="2"/>
          </rPr>
          <t>Name of Person who would own Business data gathering on the application &amp; 
complete the data attribute fields.</t>
        </r>
      </text>
    </comment>
    <comment ref="L1" authorId="0" shapeId="0" xr:uid="{E0E27761-806B-425D-BCA9-74B182BF780C}">
      <text>
        <r>
          <rPr>
            <sz val="11"/>
            <color indexed="8"/>
            <rFont val="Calibri"/>
            <family val="2"/>
          </rPr>
          <t xml:space="preserve">Whether it is an in-house developed or COTS product
 COTS OOB - commercial off-the-shelf Out of box
 COTS Customized - commercial off-the-shelf Customized
 In House Developed – Developed with in Customer
 Vendor Custom – Developed by the third party vendors
</t>
        </r>
      </text>
    </comment>
    <comment ref="M1" authorId="0" shapeId="0" xr:uid="{7A1DE080-D684-4F9A-A69F-ECAF706462A6}">
      <text>
        <r>
          <rPr>
            <sz val="11"/>
            <color indexed="8"/>
            <rFont val="Calibri"/>
            <family val="2"/>
          </rPr>
          <t>Application Age (in years) - from the date of its first deployment.</t>
        </r>
      </text>
    </comment>
    <comment ref="N1" authorId="0" shapeId="0" xr:uid="{4E15B7A2-12B9-41EB-9BF5-E3A9AB7FF51B}">
      <text/>
    </comment>
    <comment ref="O1" authorId="0" shapeId="0" xr:uid="{124C7A17-7F1A-48FC-8134-D0530586AD72}">
      <text>
        <r>
          <rPr>
            <sz val="11"/>
            <color indexed="8"/>
            <rFont val="Calibri"/>
            <family val="2"/>
          </rPr>
          <t>The name of the vendors who are the supplier of the application.</t>
        </r>
      </text>
    </comment>
    <comment ref="P1" authorId="0" shapeId="0" xr:uid="{99733681-B24A-4F54-A666-21C5FB04A8BA}">
      <text>
        <r>
          <rPr>
            <sz val="11"/>
            <color indexed="8"/>
            <rFont val="Calibri"/>
            <family val="2"/>
          </rPr>
          <t>End of Life date for the application in (mmddyy) format.</t>
        </r>
      </text>
    </comment>
    <comment ref="Q1" authorId="0" shapeId="0" xr:uid="{1130C8CE-9BE5-446C-90E2-24C85410AE23}">
      <text>
        <r>
          <rPr>
            <sz val="11"/>
            <color indexed="8"/>
            <rFont val="Calibri"/>
            <family val="2"/>
          </rPr>
          <t>End of Vendor Support Date (mmddyy format)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ACFEB14E-B1A3-49F6-9D9B-76DE9902F223}">
      <text>
        <r>
          <rPr>
            <sz val="11"/>
            <color indexed="8"/>
            <rFont val="Calibri"/>
            <family val="2"/>
          </rPr>
          <t>Name of the Business stakeholder who is owner of the Business enabled by the 
Application / or the key Business user of the application</t>
        </r>
      </text>
    </comment>
    <comment ref="E1" authorId="0" shapeId="0" xr:uid="{0E39A222-1936-4526-9F75-05304861850A}">
      <text>
        <r>
          <rPr>
            <sz val="11"/>
            <color indexed="8"/>
            <rFont val="Calibri"/>
            <family val="2"/>
          </rPr>
          <t>Name of the application owner, who will be the key stakeholder for the 
application who can own the data gathering for the application</t>
        </r>
      </text>
    </comment>
    <comment ref="F1" authorId="0" shapeId="0" xr:uid="{4EF4832B-8891-4BFF-8275-D44CF831EB1F}">
      <text>
        <r>
          <rPr>
            <sz val="11"/>
            <color indexed="8"/>
            <rFont val="Calibri"/>
            <family val="2"/>
          </rPr>
          <t>Name of Support Group who would own technical data gathering on the application</t>
        </r>
      </text>
    </comment>
    <comment ref="G1" authorId="0" shapeId="0" xr:uid="{D2F718F3-6ECB-4438-947E-3F1FD9F24CED}">
      <text>
        <r>
          <rPr>
            <sz val="11"/>
            <color indexed="8"/>
            <rFont val="Calibri"/>
            <family val="2"/>
          </rPr>
          <t>Name of Person who would own technical data gathering on the application &amp; 
complete the data attribute fields.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3838C2C6-14B3-4391-A601-C7C75CCF10DA}">
      <text>
        <r>
          <rPr>
            <sz val="11"/>
            <color indexed="8"/>
            <rFont val="Calibri"/>
            <family val="2"/>
          </rPr>
          <t>The  Strategic Business Group of the application, (as per Organization / 
Business structure)</t>
        </r>
      </text>
    </comment>
    <comment ref="E1" authorId="0" shapeId="0" xr:uid="{E9258D22-001A-4C16-A5C3-88A2587687DB}">
      <text>
        <r>
          <rPr>
            <sz val="11"/>
            <color indexed="8"/>
            <rFont val="Calibri"/>
            <family val="2"/>
          </rPr>
          <t>The  Line Of Business or Strategic Business Unit (SBU) of the application, (as 
per Organization / Business structure)</t>
        </r>
      </text>
    </comment>
    <comment ref="F1" authorId="0" shapeId="0" xr:uid="{2E11035E-ED76-4EAA-A68A-CE4911EA404D}">
      <text>
        <r>
          <rPr>
            <sz val="11"/>
            <color indexed="8"/>
            <rFont val="Calibri"/>
            <family val="2"/>
          </rPr>
          <t xml:space="preserve">What is the key purpose / intent type of the application?
 -Strategic: Application built for long term business strategy.
 -Tactical: Application built for temporary solution or short term business 
strategy.
 -Legacy: An information system that may be based on outdated technologies, 
but is critical to day-to-day operation.
</t>
        </r>
      </text>
    </comment>
    <comment ref="G1" authorId="0" shapeId="0" xr:uid="{6BB5B47D-04FE-4935-BA80-97887603251E}">
      <text>
        <r>
          <rPr>
            <sz val="11"/>
            <color indexed="8"/>
            <rFont val="Calibri"/>
            <family val="2"/>
          </rPr>
          <t xml:space="preserve">A system whose failure may result in very high costs for the business using 
that system
 Critical - IT systems that are essential to support business operations. Loss 
or failure of these systems will have an profound impact on business 
operations. Systems should have a maximum downtime of 4 hours or less.
 High - IT systems which are crucial to support primary business operations. 
Loss or failure of these systems will have a significant impact on business 
operations. Systems should have a maximum downtime of 24 hours or less.
 Medium - IT systems which are important to business operations. Loss or 
failure of these systems will have a modest impact on business operations. 
Systems should have a maximum downtime of 72 hours or less.
 Low - IT systems which improve the effectiveness or efficiency of operations. 
An extensive loss or failure of these systems will have a negligible/ less 
impact on business operations
</t>
        </r>
      </text>
    </comment>
    <comment ref="H1" authorId="0" shapeId="0" xr:uid="{BACFD9EF-C6B0-4522-8065-D0B78396BC5D}">
      <text>
        <r>
          <rPr>
            <sz val="11"/>
            <color indexed="8"/>
            <rFont val="Calibri"/>
            <family val="2"/>
          </rPr>
          <t xml:space="preserve">Specify the highest level of data sensitivity handled by the application
 C1 Public- This information is public information, and can be openly shared 
on website, discussed in public. It does not require any additional controls 
when used.
 C2 Internal- Internal information is company-wide and should be protected 
with limited controls. Internal information may include the employee handbook, 
various policies and company-wide memos. If disclosed, Internal information has 
a minimal impact to the business.
 C3 Confidential- Confidential information is team-wide and its use should be 
contained within the business. This information may include pricing, marketing 
materials, or contact information. If disclosed, Confidential information could 
negatively affect your business and ultimately your brand.
 C4 Highly Confidential - Highly Confidential information is highly sensitive 
and its use should be limited on a need-toknow basis. Highly Confidential 
information is typically protected with a Non-disclosure Agreement (NDA) to 
minimize legal risk. Highly Confidential information includes trade secrets, 
potentially identifiable information (PII), card holder data (credit cards), or 
health information. If disclosed, there would be a significant financial or 
legal impact to the business.
</t>
        </r>
      </text>
    </comment>
    <comment ref="I1" authorId="0" shapeId="0" xr:uid="{801AC23C-0661-4761-B38A-F774C9007DD6}">
      <text>
        <r>
          <rPr>
            <sz val="11"/>
            <color indexed="8"/>
            <rFont val="Calibri"/>
            <family val="2"/>
          </rPr>
          <t xml:space="preserve">Applicable only for GxP or SOX applications. Does the application adequately 
address Regulatory Compliance requirement of Business, (e.g. SOX), if 
applicable.
 Complies Fully - Full regulatory compliance is implemented.
 Minor Non compliance - Few items in regulatory compliance not implemented
 Major Non compliance - Regulatory compliance is not implemented
 Extremely critical non compliance- Regulatory Compliance policy is highly 
critical for the application but the application is non compliant
 Some non critical non compliance- Partial compliant with deviation on 
non-critical compliant policies.
</t>
        </r>
      </text>
    </comment>
    <comment ref="J1" authorId="0" shapeId="0" xr:uid="{D53DEB95-29DD-4AFC-8B41-9801CF0D951C}">
      <text>
        <r>
          <rPr>
            <sz val="11"/>
            <color indexed="8"/>
            <rFont val="Calibri"/>
            <family val="2"/>
          </rPr>
          <t xml:space="preserve">What is the end user's opinion of the application's functional fitness - 
ability to satisfy business needs?
 Does not fit at all – no business requirement is fullfilled
 Below Average - Need major modification
 Average - Need moderate modification for business function fitment
 Meets most of the needs, but not very adaptable to changing needs
 Meets all Business needs – all business requirements are fullfilled
</t>
        </r>
      </text>
    </comment>
    <comment ref="K1" authorId="0" shapeId="0" xr:uid="{12173B63-A373-4574-9623-A5E74B76781D}">
      <text>
        <r>
          <rPr>
            <sz val="11"/>
            <color indexed="8"/>
            <rFont val="Calibri"/>
            <family val="2"/>
          </rPr>
          <t>Provide a "Customer Satisfaction Index" of the application, if one is 
available, else provide a rating between 1 to 5 lowest to highest.</t>
        </r>
      </text>
    </comment>
    <comment ref="L1" authorId="0" shapeId="0" xr:uid="{38088FB9-F3DE-48F7-84C1-5060B191BAF1}">
      <text>
        <r>
          <rPr>
            <sz val="11"/>
            <color indexed="8"/>
            <rFont val="Calibri"/>
            <family val="2"/>
          </rPr>
          <t>Comments from Application owner. Can include information related to cloud 
migration, planned enhancements or retirement of the application.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ACE0C159-C32D-473C-BB40-F649663ED418}">
      <text>
        <r>
          <rPr>
            <sz val="11"/>
            <color indexed="8"/>
            <rFont val="Calibri"/>
            <family val="2"/>
          </rPr>
          <t>Business Regions / Geographies where the application is used</t>
        </r>
      </text>
    </comment>
    <comment ref="E1" authorId="0" shapeId="0" xr:uid="{E2BEDB2F-9D79-41A3-9EE8-F7809D560827}">
      <text>
        <r>
          <rPr>
            <sz val="11"/>
            <color indexed="8"/>
            <rFont val="Calibri"/>
            <family val="2"/>
          </rPr>
          <t>Identifies the Hosting details of the Application</t>
        </r>
      </text>
    </comment>
    <comment ref="F1" authorId="0" shapeId="0" xr:uid="{492374A1-D2B4-476D-B9B6-63FEB1BAA930}">
      <text>
        <r>
          <rPr>
            <sz val="11"/>
            <color indexed="8"/>
            <rFont val="Calibri"/>
            <family val="2"/>
          </rPr>
          <t xml:space="preserve">What is the underlying Architectural style of the Application?
 Client-server: Architecture of a computer network in which many clients 
request and receive service from a centralized server.
 Mainframe: The design of mainframe computers which are used for large-scale 
computing applications like data storage, bulk information processing.
 Monolithic: The unified model for the design of a software program.
 Multi-tier Non Web: Client–server architecture where presentation, 
application processing and data management functions are physically separated.
 SaaS / Cloud based: Components and subcomponents required for cloud computing 
with a front end platform (fat client, thin client, mobile ),back end platforms 
(servers, storage), a cloud based delivery, and a network (Internet, Intranet, 
Intercloud).
 Service Oriented: Software design where services are provided to the other 
components by application components, through a communication protocol over a 
network.
 Web based Multi tier: Application framework is split into multiple pieces 
where the database server is separate from the application server and 
interconnection happens through web network.
 Component Based: Architecture focuses on the decomposition of the design into 
individual functional or logical components that represent well-defined 
communication interfaces containing methods, events, and properties.
</t>
        </r>
      </text>
    </comment>
    <comment ref="G1" authorId="0" shapeId="0" xr:uid="{B5AD54D7-EE32-4C71-A023-1E95961F2547}">
      <text>
        <r>
          <rPr>
            <sz val="11"/>
            <color indexed="8"/>
            <rFont val="Calibri"/>
            <family val="2"/>
          </rPr>
          <t xml:space="preserve">What is the presentation layer architecture pattern of the application.
 Non Gui - Character oriented: User interface through keyboard command.
 Non Web based Gui: Running an executable program on the client terminal with 
out web interface.
 Web - Thin Client: Launches application from a Web site and have the 
applications run on the remote server.
 Web - Smart Client / Rich Internet Application :Applications hosted through a 
web Hypertext Transfer Protocol (HTTP) connection.
 Mobile Client: Application Center installer that runs on Android, iOS, 
Windows Phone, or Windows device.
 Terminal Services / VDI: Virtual machines that provide and manage virtual 
desktops.
 Multichannel integrated - Mobile GUI / IVR / Social network support: 
Interactive voice response (IVR) handles large call volumes.
</t>
        </r>
      </text>
    </comment>
    <comment ref="H1" authorId="0" shapeId="0" xr:uid="{4A72A2ED-4133-4306-932F-31EBE56E31C5}">
      <text>
        <r>
          <rPr>
            <sz val="11"/>
            <color indexed="8"/>
            <rFont val="Calibri"/>
            <family val="2"/>
          </rPr>
          <t xml:space="preserve">What is the Integration Architecture pattern of this application with other 
applications (Internal as well as external)
 RPC: Integration attained when a computer program causes a procedure 
(subroutine) to execute in a different address space.
 Point to Point Message passing: Integration through message passing to a 
message consumer.
 Message Broker: Integration task through message validation, transformation, 
and routing.
 Workflow based: Integration and coordination by addressing the requirements 
of work flow applications.
 Content Collaboration: Integration by the convergence of social software with 
service management software.
 Point to Point through shared database: Application integration through the 
distributed and shared databases
</t>
        </r>
      </text>
    </comment>
    <comment ref="I1" authorId="0" shapeId="0" xr:uid="{9D7EA600-152D-4E3F-A0C3-AD74D18FC7BE}">
      <text>
        <r>
          <rPr>
            <sz val="11"/>
            <color indexed="8"/>
            <rFont val="Calibri"/>
            <family val="2"/>
          </rPr>
          <t>What are the development platforms / IDEs used for the application's 
development / customizations?</t>
        </r>
      </text>
    </comment>
    <comment ref="J1" authorId="0" shapeId="0" xr:uid="{40E80D3F-B518-4F65-BA5B-C5E6F3F9DF7C}">
      <text>
        <r>
          <rPr>
            <sz val="11"/>
            <color indexed="8"/>
            <rFont val="Calibri"/>
            <family val="2"/>
          </rPr>
          <t>Whether the application is deployed/running/fit-to-be-deployed on virtualized 
environment</t>
        </r>
      </text>
    </comment>
    <comment ref="K1" authorId="0" shapeId="0" xr:uid="{D01C065A-6CE9-440A-8885-37C2F6BC4729}">
      <text>
        <r>
          <rPr>
            <sz val="11"/>
            <color indexed="8"/>
            <rFont val="Calibri"/>
            <family val="2"/>
          </rPr>
          <t>Specify the Source applications names, which PROVIDE data To this application.</t>
        </r>
      </text>
    </comment>
    <comment ref="L1" authorId="0" shapeId="0" xr:uid="{902389B0-4056-492A-BD46-DEF988F99DBE}">
      <text>
        <r>
          <rPr>
            <sz val="11"/>
            <color indexed="8"/>
            <rFont val="Calibri"/>
            <family val="2"/>
          </rPr>
          <t>Specify the Destination applications names, which CONSUME data From this 
application.</t>
        </r>
      </text>
    </comment>
    <comment ref="M1" authorId="0" shapeId="0" xr:uid="{4FF1B729-02C4-49D0-8C1A-4255AE561026}">
      <text>
        <r>
          <rPr>
            <sz val="11"/>
            <color indexed="8"/>
            <rFont val="Calibri"/>
            <family val="2"/>
          </rPr>
          <t xml:space="preserve">Specify the extent of impact of non availability of one or more of the 
interfaces, that is, the importance of this application's data exchange with 
other applications. In case of more than one interface applications, select the 
one with highest criticality
 Ex: If application A interfaces with B, C, D incase non-availability of 
application A have high impact on applicaion B, C, D then criticality of 
interface is severe impact
</t>
        </r>
      </text>
    </comment>
    <comment ref="N1" authorId="0" shapeId="0" xr:uid="{379C7481-5138-42D8-8FCA-599C5F24211E}">
      <text>
        <r>
          <rPr>
            <sz val="11"/>
            <color indexed="8"/>
            <rFont val="Calibri"/>
            <family val="2"/>
          </rPr>
          <t>Specify the complexity of the application based.</t>
        </r>
      </text>
    </comment>
    <comment ref="O1" authorId="0" shapeId="0" xr:uid="{4FD2E4B8-162E-42F5-89D1-2BE7FEA0173F}">
      <text>
        <r>
          <rPr>
            <sz val="11"/>
            <color indexed="8"/>
            <rFont val="Calibri"/>
            <family val="2"/>
          </rPr>
          <t xml:space="preserve">Methodology for categorizing applications and developing a differentiated 
management and governance process that reflects how they are used and their 
rate of change.
 Systems of Record: Established packaged applications or legacy homegrown 
systems that support core transaction processing and manage the organization's 
critical master data. The rate of change is low, because the processes are 
well-established and common to most organizations, and often are subject to 
regulatory requirements.
 Systems of Differentiation: Applications that enable unique company processes 
or industry-specific capabilities. They have a medium life cycle (one to three 
years), but need to be reconfigured frequently to accommodate changing business 
practices or customer requirements.
 Systems of Innovation: New applications that are built on an adhoc basis to 
address new business requirements or opportunities. These are typically short 
life cycle projects(zero to 12 months) using departmental or outside resources 
and consumer-grade technologies.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CB33F5AE-586F-4C9C-8308-0B731E7D97EB}">
      <text>
        <r>
          <rPr>
            <sz val="11"/>
            <color indexed="8"/>
            <rFont val="Calibri"/>
            <family val="2"/>
          </rPr>
          <t>What are the core technologies used for implementing core business 
functionalities &amp; application services?</t>
        </r>
      </text>
    </comment>
    <comment ref="E1" authorId="0" shapeId="0" xr:uid="{5B068CF3-AA03-4CB3-865F-4ACB57053328}">
      <text>
        <r>
          <rPr>
            <sz val="11"/>
            <color indexed="8"/>
            <rFont val="Calibri"/>
            <family val="2"/>
          </rPr>
          <t>What are the database management and data access &amp; extraction platforms and 
versions used?</t>
        </r>
      </text>
    </comment>
    <comment ref="F1" authorId="0" shapeId="0" xr:uid="{05F3190A-6429-4D5F-A493-A2E933DE714D}">
      <text>
        <r>
          <rPr>
            <sz val="11"/>
            <color indexed="8"/>
            <rFont val="Calibri"/>
            <family val="2"/>
          </rPr>
          <t xml:space="preserve">What is the Hardware platform Model / family and Vendor? </t>
        </r>
      </text>
    </comment>
    <comment ref="G1" authorId="0" shapeId="0" xr:uid="{828659BD-CD4A-4920-BB0D-494F2B348F4B}">
      <text>
        <r>
          <rPr>
            <sz val="11"/>
            <color indexed="8"/>
            <rFont val="Calibri"/>
            <family val="2"/>
          </rPr>
          <t>What is the Operating System on which the Application runs?</t>
        </r>
      </text>
    </comment>
    <comment ref="H1" authorId="0" shapeId="0" xr:uid="{9234FD92-5FAC-44AB-A878-AA0C88A576CB}">
      <text>
        <r>
          <rPr>
            <sz val="11"/>
            <color indexed="8"/>
            <rFont val="Calibri"/>
            <family val="2"/>
          </rPr>
          <t>What are the Language(s) used to develop the application?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C188508E-E908-4ED0-A0B8-74162AF61409}">
      <text>
        <r>
          <rPr>
            <sz val="11"/>
            <color indexed="8"/>
            <rFont val="Calibri"/>
            <family val="2"/>
          </rPr>
          <t>Specify the number of application users.</t>
        </r>
      </text>
    </comment>
    <comment ref="E1" authorId="0" shapeId="0" xr:uid="{0496BF9C-7345-4881-8CD1-3926EC6738D9}">
      <text>
        <r>
          <rPr>
            <sz val="11"/>
            <color indexed="8"/>
            <rFont val="Calibri"/>
            <family val="2"/>
          </rPr>
          <t xml:space="preserve">Type of users using the application.
 Internal – Application used with in Customer
 External – Application used by clients outside customer
 Both – Applications used by both within Howmet and by the clinets outside the 
customer
</t>
        </r>
      </text>
    </comment>
    <comment ref="F1" authorId="0" shapeId="0" xr:uid="{A1B5073F-6FF0-411D-A4FC-2F6EA843D5DD}">
      <text>
        <r>
          <rPr>
            <sz val="11"/>
            <color indexed="8"/>
            <rFont val="Calibri"/>
            <family val="2"/>
          </rPr>
          <t xml:space="preserve">Is application usage expected to increase or decrease in next 1 year?
 Ex: If usage expected increase/decrease more than 50% from current level than 
its heavily increase or heavily decrease otherwise its partial Increase/decrease
</t>
        </r>
      </text>
    </comment>
    <comment ref="G1" authorId="0" shapeId="0" xr:uid="{B84B351E-5E0B-4B01-892E-E860D09FBFD5}">
      <text>
        <r>
          <rPr>
            <sz val="11"/>
            <color indexed="8"/>
            <rFont val="Calibri"/>
            <family val="2"/>
          </rPr>
          <t>Is the application response in line with business requirement.</t>
        </r>
      </text>
    </comment>
    <comment ref="H1" authorId="0" shapeId="0" xr:uid="{B79F409F-88BD-4D1A-892C-F7FD80CAA154}">
      <text>
        <r>
          <rPr>
            <sz val="11"/>
            <color indexed="8"/>
            <rFont val="Calibri"/>
            <family val="2"/>
          </rPr>
          <t>Does this application currently have performance and /or stability issues?</t>
        </r>
      </text>
    </comment>
    <comment ref="I1" authorId="0" shapeId="0" xr:uid="{80887EC3-1DBD-447C-A4A2-1E77B973EA03}">
      <text>
        <r>
          <rPr>
            <sz val="11"/>
            <color indexed="8"/>
            <rFont val="Calibri"/>
            <family val="2"/>
          </rPr>
          <t xml:space="preserve">
What are the challenges/issues/pain areas in supporting this application in 
terms of customer satisfaction, application integration, Support, Security, 
Performance, Change &amp; release management, Technology fitment, etc.
</t>
        </r>
      </text>
    </comment>
    <comment ref="J1" authorId="0" shapeId="0" xr:uid="{31E9CE4E-CAAD-4061-AAD2-DD6E858B8D25}">
      <text>
        <r>
          <rPr>
            <sz val="11"/>
            <color indexed="8"/>
            <rFont val="Calibri"/>
            <family val="2"/>
          </rPr>
          <t xml:space="preserve">Does the application have large and/or frequent variations in compute or 
storage requirements
 Yes – There is load varience observed
 No – There is no load varience observed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4F25D83F-E525-4C63-A207-390AAEACCC27}">
      <text>
        <r>
          <rPr>
            <sz val="11"/>
            <color indexed="8"/>
            <rFont val="Calibri"/>
            <family val="2"/>
          </rPr>
          <t>Specify the number of production tickets in last 3 months (in pure numbers)</t>
        </r>
      </text>
    </comment>
    <comment ref="E1" authorId="0" shapeId="0" xr:uid="{0A1A2A75-D51E-47A6-ABBE-C6A51846C7A9}">
      <text>
        <r>
          <rPr>
            <sz val="11"/>
            <color indexed="8"/>
            <rFont val="Calibri"/>
            <family val="2"/>
          </rPr>
          <t>Specify the number of Change Requests ( functional change requests)  in the 
past 3 months</t>
        </r>
      </text>
    </comment>
    <comment ref="F1" authorId="0" shapeId="0" xr:uid="{CAD5EF70-792D-4B31-9254-AC2E5546387C}">
      <text>
        <r>
          <rPr>
            <sz val="11"/>
            <color indexed="8"/>
            <rFont val="Calibri"/>
            <family val="2"/>
          </rPr>
          <t>Specify the period when the application was last accessed/used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E47AE354-15BA-4948-B443-0BAF0DDD273E}">
      <text>
        <r>
          <rPr>
            <sz val="11"/>
            <color indexed="8"/>
            <rFont val="Calibri"/>
            <family val="2"/>
          </rPr>
          <t xml:space="preserve">Application and system software cost for running the application in production.
Note: Enter 0 if no data is available.
</t>
        </r>
      </text>
    </comment>
    <comment ref="E1" authorId="0" shapeId="0" xr:uid="{1AA98C88-DF3E-4054-A8BC-04E9D0ADEF25}">
      <text>
        <r>
          <rPr>
            <sz val="11"/>
            <color indexed="8"/>
            <rFont val="Calibri"/>
            <family val="2"/>
          </rPr>
          <t xml:space="preserve">Costs of hardware, including servers, network and infrastructure required to 
run application in production.
Note: Enter 0 if no data is available.
</t>
        </r>
      </text>
    </comment>
    <comment ref="F1" authorId="0" shapeId="0" xr:uid="{8A240A29-2398-4D1C-9424-561A5CA02B2E}">
      <text>
        <r>
          <rPr>
            <sz val="11"/>
            <color indexed="8"/>
            <rFont val="Calibri"/>
            <family val="2"/>
          </rPr>
          <t xml:space="preserve">Annual Application Support / Maintenance &amp; Enhancement costs (not fresh 
development), including outsourced FTE cost.
Note: Enter 0 if no data is available.
</t>
        </r>
      </text>
    </comment>
    <comment ref="G1" authorId="0" shapeId="0" xr:uid="{90FD4082-F97D-4963-8293-32845CBA3A57}">
      <text>
        <r>
          <rPr>
            <sz val="11"/>
            <color indexed="8"/>
            <rFont val="Calibri"/>
            <family val="2"/>
          </rPr>
          <t xml:space="preserve">Application Server – Facility Costs, which attributes to total Infrastructure 
Cost.
Note: Enter 0 if no data is available.
</t>
        </r>
      </text>
    </comment>
    <comment ref="H1" authorId="0" shapeId="0" xr:uid="{E1AFAFFD-76D4-456D-9A54-36130372B04D}">
      <text>
        <r>
          <rPr>
            <sz val="11"/>
            <color indexed="8"/>
            <rFont val="Calibri"/>
            <family val="2"/>
          </rPr>
          <t xml:space="preserve">Application License Cost.
Note: Enter 0 if no data is available.
</t>
        </r>
      </text>
    </comment>
  </commentList>
</comments>
</file>

<file path=xl/sharedStrings.xml><?xml version="1.0" encoding="utf-8"?>
<sst xmlns="http://schemas.openxmlformats.org/spreadsheetml/2006/main" count="2448" uniqueCount="905">
  <si>
    <t>Tool Id</t>
  </si>
  <si>
    <t>Business Unit Name</t>
  </si>
  <si>
    <t>Application Name</t>
  </si>
  <si>
    <t>Application ID</t>
  </si>
  <si>
    <t>Application Description</t>
  </si>
  <si>
    <t>Region</t>
  </si>
  <si>
    <t>Hosting</t>
  </si>
  <si>
    <t>IT Portfolio</t>
  </si>
  <si>
    <t>IT Portfolio Owner</t>
  </si>
  <si>
    <t>Application Business SME</t>
  </si>
  <si>
    <t>Application Source</t>
  </si>
  <si>
    <t>Application Age (In Years)</t>
  </si>
  <si>
    <t>Application Status</t>
  </si>
  <si>
    <t>Vendor Name</t>
  </si>
  <si>
    <t>EOL (End of Life) for product</t>
  </si>
  <si>
    <t>EOVS (End of Vendor Support)</t>
  </si>
  <si>
    <t>Field Names</t>
  </si>
  <si>
    <t/>
  </si>
  <si>
    <t>&lt;b&gt;Region&lt;/b&gt;</t>
  </si>
  <si>
    <t>&lt;strong&gt;Hosting&lt;/strong&gt;</t>
  </si>
  <si>
    <t>&lt;b&gt;IT Portfolio&lt;/b&gt;</t>
  </si>
  <si>
    <t>&lt;b&gt;Application Source&lt;/b&gt;</t>
  </si>
  <si>
    <t>&lt;b&gt;Application Age (In Years)&lt;/b&gt;</t>
  </si>
  <si>
    <t>&lt;strong&gt;Application Status&lt;/strong&gt;</t>
  </si>
  <si>
    <t>ICTO_ID_App</t>
  </si>
  <si>
    <t>Local Country</t>
  </si>
  <si>
    <t>1. Cloud</t>
  </si>
  <si>
    <t>Infrastructure</t>
  </si>
  <si>
    <t>COTS OOB</t>
  </si>
  <si>
    <t>0-3 yrs</t>
  </si>
  <si>
    <t>Decommissioned</t>
  </si>
  <si>
    <t>Business_Solution_App</t>
  </si>
  <si>
    <t>US</t>
  </si>
  <si>
    <t>2. Desktop</t>
  </si>
  <si>
    <t>Security</t>
  </si>
  <si>
    <t>COTS Customized</t>
  </si>
  <si>
    <t>4-6 yrs</t>
  </si>
  <si>
    <t>Duplicate</t>
  </si>
  <si>
    <t>Business_Solution_Description</t>
  </si>
  <si>
    <t>3. Hybrid cloud</t>
  </si>
  <si>
    <t>End User Computing</t>
  </si>
  <si>
    <t>Vendor Custom</t>
  </si>
  <si>
    <t>7-10 yrs</t>
  </si>
  <si>
    <t>In-Scope</t>
  </si>
  <si>
    <t>Red_box</t>
  </si>
  <si>
    <t>Not Applicable</t>
  </si>
  <si>
    <t>5. SaaS</t>
  </si>
  <si>
    <t>Enterprise App</t>
  </si>
  <si>
    <t>&gt;15 yrs</t>
  </si>
  <si>
    <t>Out-of Scope</t>
  </si>
  <si>
    <t>IT_portfolio</t>
  </si>
  <si>
    <t>Not Available</t>
  </si>
  <si>
    <t>6. Sharepoint</t>
  </si>
  <si>
    <t>IT Application</t>
  </si>
  <si>
    <t>In House Developed</t>
  </si>
  <si>
    <t>In Active</t>
  </si>
  <si>
    <t>IT_portfolio_Owner</t>
  </si>
  <si>
    <t>7.Vendor sit</t>
  </si>
  <si>
    <t>Already on Cloud</t>
  </si>
  <si>
    <t>Application_SME</t>
  </si>
  <si>
    <t>To be Retired</t>
  </si>
  <si>
    <t>Application_Type_EY</t>
  </si>
  <si>
    <t>Application_Age</t>
  </si>
  <si>
    <t>TOPAZ_Indicator</t>
  </si>
  <si>
    <t>End_of_life</t>
  </si>
  <si>
    <t>End_of_Vendor_Support</t>
  </si>
  <si>
    <t>C1</t>
  </si>
  <si>
    <t>Yes</t>
  </si>
  <si>
    <t>Application Business Owner</t>
  </si>
  <si>
    <t>Application Technical (IT) Owner</t>
  </si>
  <si>
    <t>Application Technical Group</t>
  </si>
  <si>
    <t>Application Technical SPOC</t>
  </si>
  <si>
    <t>Business_Executive_Sponser</t>
  </si>
  <si>
    <t>Service_Delivery_Lead</t>
  </si>
  <si>
    <t>IT_Production_Support_Contact</t>
  </si>
  <si>
    <t>Strategic Business Group (SBG) - mapping from Organization</t>
  </si>
  <si>
    <t>Line Of Business (LOB)/ Strategic Business Unit (SBU)- mapping from Organization</t>
  </si>
  <si>
    <t>Application Class</t>
  </si>
  <si>
    <t>Business Criticality of the Application</t>
  </si>
  <si>
    <t>Confidentiality Classification</t>
  </si>
  <si>
    <t>Regulatory Compliance adequacy</t>
  </si>
  <si>
    <t>Functional Fitness</t>
  </si>
  <si>
    <t>Business User Satisfaction</t>
  </si>
  <si>
    <t>Application Owner Insights</t>
  </si>
  <si>
    <t>D,E</t>
  </si>
  <si>
    <t>&lt;b&gt;Strategic Business Group (SBG) - mapping from Organization&lt;/b&gt;</t>
  </si>
  <si>
    <t>&lt;b&gt;Line Of Business (LOB)/ Strategic Business Unit (SBU)- mapping from Organization&lt;/b&gt;</t>
  </si>
  <si>
    <t>&lt;b&gt;Application  Class&lt;/b&gt;</t>
  </si>
  <si>
    <t>&lt;b&gt;Business Criticality of the Application&lt;/b&gt;</t>
  </si>
  <si>
    <t>&lt;b&gt;Confidentiality Classification&lt;/b&gt;</t>
  </si>
  <si>
    <t>&lt;b&gt;Regulatory Compliance adequacy&lt;/b&gt;</t>
  </si>
  <si>
    <t>&lt;b&gt;Functional Fitness&lt;/b&gt;</t>
  </si>
  <si>
    <t>&lt;b&gt;Business User Satisfaction&lt;/b&gt;</t>
  </si>
  <si>
    <t>Strategic_bu_group</t>
  </si>
  <si>
    <t>All</t>
  </si>
  <si>
    <t>Strategic</t>
  </si>
  <si>
    <t>Critical</t>
  </si>
  <si>
    <t>C1 Public</t>
  </si>
  <si>
    <t>1 - Complies fully</t>
  </si>
  <si>
    <t>1-Does not fit at all</t>
  </si>
  <si>
    <t>5 Highest</t>
  </si>
  <si>
    <t>Line_Of_Business</t>
  </si>
  <si>
    <t>Tactical</t>
  </si>
  <si>
    <t>High</t>
  </si>
  <si>
    <t>C2 Internal</t>
  </si>
  <si>
    <t>1 - Not Applicable / Complies fully</t>
  </si>
  <si>
    <t>2-Below Average - Need major modification</t>
  </si>
  <si>
    <t>4</t>
  </si>
  <si>
    <t>Strategic_Indicator</t>
  </si>
  <si>
    <t>Legacy</t>
  </si>
  <si>
    <t>Medium</t>
  </si>
  <si>
    <t>C3 Confidential</t>
  </si>
  <si>
    <t>2 - Minor Non compliance</t>
  </si>
  <si>
    <t>3-Average - Need moderate modification for business function fitment</t>
  </si>
  <si>
    <t>3</t>
  </si>
  <si>
    <t>Infosec_Classification</t>
  </si>
  <si>
    <t>4 - Major Non compliance</t>
  </si>
  <si>
    <t>5-Meets all Business needs</t>
  </si>
  <si>
    <t>1  Lowest</t>
  </si>
  <si>
    <t>Regulatory_Compilance</t>
  </si>
  <si>
    <t>Unknown</t>
  </si>
  <si>
    <t>5 - Extremely critical non compliance</t>
  </si>
  <si>
    <t>Functional_Fitness</t>
  </si>
  <si>
    <t>Business_User_satisfication</t>
  </si>
  <si>
    <t>Application_Owner_insights</t>
  </si>
  <si>
    <t>Architecture Style of Application</t>
  </si>
  <si>
    <t>Presentation Layer Architecture</t>
  </si>
  <si>
    <t>Integration Architecture</t>
  </si>
  <si>
    <t>Solutions Technology components/platforms</t>
  </si>
  <si>
    <t>Virtualisation Support</t>
  </si>
  <si>
    <t>Application Interfaces (PROVIDERS)</t>
  </si>
  <si>
    <t>Application Interfaces (CONSUMERS)</t>
  </si>
  <si>
    <t>Criticality of the interfaces</t>
  </si>
  <si>
    <t>Application Complexity</t>
  </si>
  <si>
    <t>Pace Layer classification</t>
  </si>
  <si>
    <t>E,F,G</t>
  </si>
  <si>
    <t>&lt;b&gt;Architecture Style of Application&lt;/b&gt;</t>
  </si>
  <si>
    <t>&lt;b&gt;Presentation Layer Architecture&lt;/b&gt;</t>
  </si>
  <si>
    <t>&lt;b&gt;Integration Architecture&lt;/b&gt;</t>
  </si>
  <si>
    <t>&lt;b&gt;Solutions Technology components/platforms&lt;/b&gt;</t>
  </si>
  <si>
    <t>&lt;b&gt;Virtualisation Support&lt;/b&gt;</t>
  </si>
  <si>
    <t>&lt;b&gt;Criticality of the interfaces&lt;/b&gt;</t>
  </si>
  <si>
    <t>&lt;b&gt;Application Complexity&lt;/b&gt;</t>
  </si>
  <si>
    <t>&lt;b&gt;Pace Layer classification&lt;/b&gt;</t>
  </si>
  <si>
    <t>Architecture_Style</t>
  </si>
  <si>
    <t>Client-server</t>
  </si>
  <si>
    <t>Non Gui - Character oriented</t>
  </si>
  <si>
    <t>File Transfer</t>
  </si>
  <si>
    <t>ADO.NET</t>
  </si>
  <si>
    <t>No Interface</t>
  </si>
  <si>
    <t>System of Innovation(SOI)</t>
  </si>
  <si>
    <t>Presentation_Layer</t>
  </si>
  <si>
    <t>Mainframe</t>
  </si>
  <si>
    <t>Non Web based Gui</t>
  </si>
  <si>
    <t>RPC</t>
  </si>
  <si>
    <t>AngularJS</t>
  </si>
  <si>
    <t>No</t>
  </si>
  <si>
    <t>Minimal Impact</t>
  </si>
  <si>
    <t>System of Differentiation(SDD)</t>
  </si>
  <si>
    <t>Integration_architecture</t>
  </si>
  <si>
    <t>Monolithic</t>
  </si>
  <si>
    <t>Web - Thin Client</t>
  </si>
  <si>
    <t>Point to Point Message passing</t>
  </si>
  <si>
    <t>Apache Tomcat</t>
  </si>
  <si>
    <t>Low impact</t>
  </si>
  <si>
    <t>Low</t>
  </si>
  <si>
    <t>System of Record(SOR)</t>
  </si>
  <si>
    <t>Application_Dev_Tech</t>
  </si>
  <si>
    <t>Multi-tier Non Web</t>
  </si>
  <si>
    <t>Web - Smart Client / Rich Internet Application</t>
  </si>
  <si>
    <t>Message Broker</t>
  </si>
  <si>
    <t>Apache Tomcat 6.x</t>
  </si>
  <si>
    <t>Moderate impact</t>
  </si>
  <si>
    <t>Virtualisation_support</t>
  </si>
  <si>
    <t>SaaS / Cloud based</t>
  </si>
  <si>
    <t>Mobile Client</t>
  </si>
  <si>
    <t>Workflow based</t>
  </si>
  <si>
    <t>Apache Tomcat 7.x</t>
  </si>
  <si>
    <t>Severe impact</t>
  </si>
  <si>
    <t>App_Interface_Providers</t>
  </si>
  <si>
    <t>Service Oriented</t>
  </si>
  <si>
    <t>Terminal Services / VDI</t>
  </si>
  <si>
    <t>Content Collaboration</t>
  </si>
  <si>
    <t>Apache Tomcat 8.x</t>
  </si>
  <si>
    <t>App_Interface_Consumers</t>
  </si>
  <si>
    <t>Web based Multi tier</t>
  </si>
  <si>
    <t>Multichannel integrated - Mobile GUI / IVR / Social network support</t>
  </si>
  <si>
    <t>Apache Web Server</t>
  </si>
  <si>
    <t>Criticality_Interface</t>
  </si>
  <si>
    <t>Component Based</t>
  </si>
  <si>
    <t>Point to Point through shared database</t>
  </si>
  <si>
    <t>Apache Web Server 2.0</t>
  </si>
  <si>
    <t>Application_Complexity</t>
  </si>
  <si>
    <t>Data Feed/ ETL / Batch</t>
  </si>
  <si>
    <t>Apache Web Server 2.2</t>
  </si>
  <si>
    <t>Pace_Layer</t>
  </si>
  <si>
    <t>Service Oriented Integration</t>
  </si>
  <si>
    <t>Apache Web Server 2.4</t>
  </si>
  <si>
    <t>EDI (Electronic Data Interchange)</t>
  </si>
  <si>
    <t>Aspose Total 1.0</t>
  </si>
  <si>
    <t>Integration-as-a-Service</t>
  </si>
  <si>
    <t>Bootstrap</t>
  </si>
  <si>
    <t>No Integration / Standalone</t>
  </si>
  <si>
    <t>Citrix XenApp 6.5</t>
  </si>
  <si>
    <t>Citrix XenApp Terminal Services</t>
  </si>
  <si>
    <t>Citrix XenMobile 10.x</t>
  </si>
  <si>
    <t>Cordova 1.0</t>
  </si>
  <si>
    <t>Eclipse</t>
  </si>
  <si>
    <t>IBM Rational Application Developer</t>
  </si>
  <si>
    <t>Java Runtime 6</t>
  </si>
  <si>
    <t>JBoss 5.1</t>
  </si>
  <si>
    <t>Kendo UI</t>
  </si>
  <si>
    <t>Microsoft .NET Framework</t>
  </si>
  <si>
    <t>Microsoft .NET Framework 2.0</t>
  </si>
  <si>
    <t>Microsoft .NET Framework 3.5</t>
  </si>
  <si>
    <t>Microsoft .NET Framework 4.0</t>
  </si>
  <si>
    <t>Microsoft .NET Framework 4.5</t>
  </si>
  <si>
    <t>Microsoft .NET Framework 4.5.1</t>
  </si>
  <si>
    <t>Microsoft .NET Framework 4.5.2</t>
  </si>
  <si>
    <t>Microsoft Active Directory Domain Services 1.0</t>
  </si>
  <si>
    <t>Microsoft Active Directory Federation Services 2012 R2</t>
  </si>
  <si>
    <t>Microsoft .Net Framework client-side 4</t>
  </si>
  <si>
    <t>Microsoft .Net Framework CSOM (Client Side Object Model)</t>
  </si>
  <si>
    <t>Microsoft Internet Explorer 11</t>
  </si>
  <si>
    <t>Microsoft Sharepoint Designer</t>
  </si>
  <si>
    <t>Microsoft Team Foundation Server</t>
  </si>
  <si>
    <t>Microsoft Visual Studio</t>
  </si>
  <si>
    <t>Microsoft Visual Studio 2005</t>
  </si>
  <si>
    <t>Microsoft Visual Studio 2010</t>
  </si>
  <si>
    <t>Microsoft Visual Studio 2013</t>
  </si>
  <si>
    <t>Model View ViewModel (MVVM)</t>
  </si>
  <si>
    <t>Netweaver Single-Sign-On 2.0</t>
  </si>
  <si>
    <t>Network File Store</t>
  </si>
  <si>
    <t>Nhibernate</t>
  </si>
  <si>
    <t>Hibernate</t>
  </si>
  <si>
    <t>Oracle APEX</t>
  </si>
  <si>
    <t>Oracle PL/SQL Developer</t>
  </si>
  <si>
    <t>PeopleSoft Application Designer</t>
  </si>
  <si>
    <t>Privilege Elevation Tool 2</t>
  </si>
  <si>
    <t>SAP PowerBuilder</t>
  </si>
  <si>
    <t>Text Editor</t>
  </si>
  <si>
    <t>Vmware vSphere ESXi 5.5</t>
  </si>
  <si>
    <t>Microsoft Visual Studio 2013 Ultimate</t>
  </si>
  <si>
    <t>Microsoft Visual Studio 2008 Pro</t>
  </si>
  <si>
    <t>ASP.NET MVC 4</t>
  </si>
  <si>
    <t>Business Logic Layer</t>
  </si>
  <si>
    <t>Data Layer Platforms</t>
  </si>
  <si>
    <t>Hardware Platforms</t>
  </si>
  <si>
    <t>Operating System</t>
  </si>
  <si>
    <t>Software Programming Language</t>
  </si>
  <si>
    <t>D,E,F,G,H</t>
  </si>
  <si>
    <t>&lt;strong&gt;Business Logic Layer&lt;/strong&gt;</t>
  </si>
  <si>
    <t>&lt;strong&gt;Data Layer Platforms&lt;/strong&gt;</t>
  </si>
  <si>
    <t>&lt;strong&gt;Hardware Platforms&lt;/strong&gt;</t>
  </si>
  <si>
    <t>&lt;strong&gt;Operating System&lt;/strong&gt;</t>
  </si>
  <si>
    <t>&lt;b&gt;Software Programming Language&lt;/b&gt;</t>
  </si>
  <si>
    <t>business_layer</t>
  </si>
  <si>
    <t>Alfabet Suite 10.1</t>
  </si>
  <si>
    <t>Entity Framework 6.0</t>
  </si>
  <si>
    <t>CISCO UCS B200 M4 Server</t>
  </si>
  <si>
    <t>Red Hat Enterprise Linux 5</t>
  </si>
  <si>
    <t>Assembly Language</t>
  </si>
  <si>
    <t>data_layer</t>
  </si>
  <si>
    <t>Microsoft SQL Server</t>
  </si>
  <si>
    <t>Cloud Hosted</t>
  </si>
  <si>
    <t>Red Hat Enterprise Linux 5.11</t>
  </si>
  <si>
    <t>hardware_plat</t>
  </si>
  <si>
    <t>Microsoft SQL Server 2008</t>
  </si>
  <si>
    <t>Dell Desktop</t>
  </si>
  <si>
    <t>Red Hat Enterprise Linux 6.x</t>
  </si>
  <si>
    <t>C</t>
  </si>
  <si>
    <t>operating_sys</t>
  </si>
  <si>
    <t>Microsoft SQL Server 2010</t>
  </si>
  <si>
    <t>Dell PowerEdge 2950 Server</t>
  </si>
  <si>
    <t>Red Hat Enterprise Linux 7.x</t>
  </si>
  <si>
    <t>C++</t>
  </si>
  <si>
    <t>Programmin_tech</t>
  </si>
  <si>
    <t>Microsoft SQL Server 2012</t>
  </si>
  <si>
    <t>Dell PowerEdge M610 Blade Server</t>
  </si>
  <si>
    <t>Windows 10</t>
  </si>
  <si>
    <t>Cobol</t>
  </si>
  <si>
    <t>Microsoft SQL Server 2012 EE</t>
  </si>
  <si>
    <t>Dell PowerEdge M620 Blade Server</t>
  </si>
  <si>
    <t>Windows 7</t>
  </si>
  <si>
    <t>ColdFusion</t>
  </si>
  <si>
    <t>Microsoft SQL Server 2012 R2</t>
  </si>
  <si>
    <t>Dell PowerEdge M630 Blade Server</t>
  </si>
  <si>
    <t>Windows 8</t>
  </si>
  <si>
    <t>CSS</t>
  </si>
  <si>
    <t>Microsoft SQL Server 2012 R2 Std</t>
  </si>
  <si>
    <t>Dell PowerEdge M710 Blade Server</t>
  </si>
  <si>
    <t>Microsoft Windows Server 2003</t>
  </si>
  <si>
    <t>Delphi</t>
  </si>
  <si>
    <t>Microsoft SQL Server 2014</t>
  </si>
  <si>
    <t>Dell PowerEdge M820 Blade Server</t>
  </si>
  <si>
    <t>Microsoft Windows Server 2003 Enterprise Edition</t>
  </si>
  <si>
    <t>HTML</t>
  </si>
  <si>
    <t>Aris Publisher 9.8</t>
  </si>
  <si>
    <t>Microsoft SQL Server 2015</t>
  </si>
  <si>
    <t>Dell PowerEdge R710 Rack Server</t>
  </si>
  <si>
    <t>Windows Server 2008</t>
  </si>
  <si>
    <t>HTML 5</t>
  </si>
  <si>
    <t>ASP.NET</t>
  </si>
  <si>
    <t>Microsoft SQL Server EE/SE 2008</t>
  </si>
  <si>
    <t>Dell PowerEdge R800 Rack Server</t>
  </si>
  <si>
    <t>Windows Server 2008 R2</t>
  </si>
  <si>
    <t>Java 1.8</t>
  </si>
  <si>
    <t>ASP.NET 2.0</t>
  </si>
  <si>
    <t>Microsoft SQL Server EE/SE 2008 R2 6.1</t>
  </si>
  <si>
    <t>HP 3000</t>
  </si>
  <si>
    <t>Windows Server 2008 R2 6.1</t>
  </si>
  <si>
    <t>Java 2</t>
  </si>
  <si>
    <t>ASP.NET 3.0</t>
  </si>
  <si>
    <t>Microsoft SQL Server EE/SE 2012</t>
  </si>
  <si>
    <t>Iaas</t>
  </si>
  <si>
    <t>Windows Server 2008 R2 EE</t>
  </si>
  <si>
    <t>JavaScript</t>
  </si>
  <si>
    <t>ASP.NET 3.5</t>
  </si>
  <si>
    <t>Microsoft SQL Server EE/SE 2014</t>
  </si>
  <si>
    <t>Windows Server 2008 R2 EE 64-Bit</t>
  </si>
  <si>
    <t>jQuery</t>
  </si>
  <si>
    <t>Microsoft SQL Server EE/SE 2016</t>
  </si>
  <si>
    <t>Paas</t>
  </si>
  <si>
    <t>Windows Server 2008 R2 Standard</t>
  </si>
  <si>
    <t>Lotus Script</t>
  </si>
  <si>
    <t>Microsoft SQL Server Integration Services</t>
  </si>
  <si>
    <t>Vendor Hosted</t>
  </si>
  <si>
    <t>Windows Server 2012</t>
  </si>
  <si>
    <t>Microsoft Visual Basic</t>
  </si>
  <si>
    <t>COM/DCOM</t>
  </si>
  <si>
    <t>Microsoft SQL Server Integration Services 2012</t>
  </si>
  <si>
    <t>Virtual Machine</t>
  </si>
  <si>
    <t>Windows Server 2012 R2</t>
  </si>
  <si>
    <t>Microsoft Visual Basic .NET</t>
  </si>
  <si>
    <t>Confirmit Horizons 19</t>
  </si>
  <si>
    <t>Microsoft SQL Server Integration Services 2014</t>
  </si>
  <si>
    <t>Virtual Machine 2CPU</t>
  </si>
  <si>
    <t>Windows Server 2012 R2 6.3</t>
  </si>
  <si>
    <t>Microsoft Visual C</t>
  </si>
  <si>
    <t>Domino / Lotus Notes 9.0.1</t>
  </si>
  <si>
    <t>Microsoft SQL Server Integration Services 2016</t>
  </si>
  <si>
    <t>Virtual Machine 4CPU</t>
  </si>
  <si>
    <t>Windows Server 2012 R2 Data center Edition</t>
  </si>
  <si>
    <t>Microsoft Visual Basic 2008</t>
  </si>
  <si>
    <t>EMC Documentum Administrator Application 7.3</t>
  </si>
  <si>
    <t>Microsoft SQL server Management studio</t>
  </si>
  <si>
    <t>Virtual Machine 8Core</t>
  </si>
  <si>
    <t>Windows Server 2012 R2 Standard</t>
  </si>
  <si>
    <t>Microsoft Visual Basic 6.0</t>
  </si>
  <si>
    <t>EMC Documentum Content Server 7.1</t>
  </si>
  <si>
    <t>Microsoft SQL Server Management Studio 2012</t>
  </si>
  <si>
    <t>Virtual Machine VMware</t>
  </si>
  <si>
    <t>Windows Server 2012 R2 Std</t>
  </si>
  <si>
    <t>Microsoft Visual Basic Macro</t>
  </si>
  <si>
    <t>EMC Documentum Document Transformation Server 7.3</t>
  </si>
  <si>
    <t>Microsoft SQL Server Reporting Services 2014</t>
  </si>
  <si>
    <t>Virtual Machine vSphere ESXi 5.5</t>
  </si>
  <si>
    <t>Windows Server 2012 R2 Std SP2</t>
  </si>
  <si>
    <t>EMC Documentum Records Manager 6.7</t>
  </si>
  <si>
    <t>Microsoft SQL Server Reporting Services 2016</t>
  </si>
  <si>
    <t>Virtual Machine XenApp 6.5</t>
  </si>
  <si>
    <t>Windows XP</t>
  </si>
  <si>
    <t>Perl</t>
  </si>
  <si>
    <t>EMC Documentum Webtop 6.8.5</t>
  </si>
  <si>
    <t>Dell</t>
  </si>
  <si>
    <t>PowerBuilder</t>
  </si>
  <si>
    <t>EMC Documentum WebTop Application 6.8.2</t>
  </si>
  <si>
    <t>Dell Server</t>
  </si>
  <si>
    <t>Python</t>
  </si>
  <si>
    <t>EMC Documentum Xplore</t>
  </si>
  <si>
    <t>Oracle Database</t>
  </si>
  <si>
    <t>Hitachi Blade Server</t>
  </si>
  <si>
    <t>Windows</t>
  </si>
  <si>
    <t>Rexx</t>
  </si>
  <si>
    <t>EMC Documentum Xplore 1.5</t>
  </si>
  <si>
    <t>Oracle Database 10g R2</t>
  </si>
  <si>
    <t>HP</t>
  </si>
  <si>
    <t>Vendor Proprietary Operating System</t>
  </si>
  <si>
    <t>Ruby</t>
  </si>
  <si>
    <t>EMC Documentum xPlore 1.6</t>
  </si>
  <si>
    <t>Oracle Database 11g R1</t>
  </si>
  <si>
    <t>IBM</t>
  </si>
  <si>
    <t>Linux</t>
  </si>
  <si>
    <t>Shell</t>
  </si>
  <si>
    <t>HP Enterprise Content Manager</t>
  </si>
  <si>
    <t>Oracle Database 11g R2</t>
  </si>
  <si>
    <t>Windows Server</t>
  </si>
  <si>
    <t>Shell Script</t>
  </si>
  <si>
    <t>HP Enterprise Content Manager 9</t>
  </si>
  <si>
    <t>Oracle Database 12</t>
  </si>
  <si>
    <t>Sun</t>
  </si>
  <si>
    <t>C#</t>
  </si>
  <si>
    <t>IBM Business Process Manager 8.5.6</t>
  </si>
  <si>
    <t>Oracle Database 12c</t>
  </si>
  <si>
    <t>Lenovo</t>
  </si>
  <si>
    <t>Red Hat Enterprise Linux 6</t>
  </si>
  <si>
    <t>SQL</t>
  </si>
  <si>
    <t>IBM Domino Designer</t>
  </si>
  <si>
    <t>Oracle Database Appliance 12c</t>
  </si>
  <si>
    <t>Dell 2.4</t>
  </si>
  <si>
    <t>REDHAT LINUX V5 SERVER</t>
  </si>
  <si>
    <t>Tcl</t>
  </si>
  <si>
    <t>IBM Lotus Notes</t>
  </si>
  <si>
    <t>Oracle Essbase 11.1.1.x</t>
  </si>
  <si>
    <t>HP 9000/800/N4000-55</t>
  </si>
  <si>
    <t>REDHAT LINUX V6 SERVER</t>
  </si>
  <si>
    <t>C# 3.0</t>
  </si>
  <si>
    <t>IBM Websphere</t>
  </si>
  <si>
    <t>Oracle Essbase 11.1.2.x</t>
  </si>
  <si>
    <t>HP 9K</t>
  </si>
  <si>
    <t>REDHAT LINUX V7 SERVER</t>
  </si>
  <si>
    <t>T-SQL</t>
  </si>
  <si>
    <t>IBM Websphere 8.5</t>
  </si>
  <si>
    <t>Oracle Forms</t>
  </si>
  <si>
    <t>HP Blade (SAN) 4532</t>
  </si>
  <si>
    <t>MICROSOFT 2012 6.2.9200 STANDARD SERVER EDITION</t>
  </si>
  <si>
    <t>C# 3.5</t>
  </si>
  <si>
    <t>Internet Information Services (IIS)</t>
  </si>
  <si>
    <t>Oracle mySQL</t>
  </si>
  <si>
    <t>HP Blade 9000</t>
  </si>
  <si>
    <t>MICROSOFT 2008 R2 6.1.7601</t>
  </si>
  <si>
    <t>Internet Information Services (IIS)7.5</t>
  </si>
  <si>
    <t>Oracle mySQL 4</t>
  </si>
  <si>
    <t>HP Blade BL 460c</t>
  </si>
  <si>
    <t>MICROSOFT 2008 R2 6.1.7601 ENTERPRISE EDITION</t>
  </si>
  <si>
    <t>C# 4.5</t>
  </si>
  <si>
    <t>Microsoft .NET Webservices</t>
  </si>
  <si>
    <t>Oracle mySQL 5.5.x</t>
  </si>
  <si>
    <t>HP DL 385G5</t>
  </si>
  <si>
    <t>ABAP</t>
  </si>
  <si>
    <t>Microsoft .NET Webservices 2.0</t>
  </si>
  <si>
    <t>Oracle mySQL 5.6.x</t>
  </si>
  <si>
    <t>HP G-09</t>
  </si>
  <si>
    <t>Microsoft .NET Webservices 3.5</t>
  </si>
  <si>
    <t>Oracle PL/SQL</t>
  </si>
  <si>
    <t>HP MPEix 6.5</t>
  </si>
  <si>
    <t>Application API</t>
  </si>
  <si>
    <t>Microsoft .NET Webservices 4.5</t>
  </si>
  <si>
    <t>Oracle PL/SQL 10</t>
  </si>
  <si>
    <t>HP Proliant G4</t>
  </si>
  <si>
    <t>.NET 3.5</t>
  </si>
  <si>
    <t>Microsoft .NET Webservices 4.6.2</t>
  </si>
  <si>
    <t>Oracle Provider for OLE DB</t>
  </si>
  <si>
    <t>HP Risc/Itanium S5</t>
  </si>
  <si>
    <t>Java 1.5</t>
  </si>
  <si>
    <t>Microsoft Access 2010</t>
  </si>
  <si>
    <t>Oracle Real Application Cluster (RAC) 11gR2</t>
  </si>
  <si>
    <t>HP Unix 11 I</t>
  </si>
  <si>
    <t>Java 1.6</t>
  </si>
  <si>
    <t>Microsoft Dynamics</t>
  </si>
  <si>
    <t>PostgreSQL 9.x</t>
  </si>
  <si>
    <t>HP wintel R07</t>
  </si>
  <si>
    <t>Java 1.7</t>
  </si>
  <si>
    <t>Microsoft Excel</t>
  </si>
  <si>
    <t>PostgreSQL 10</t>
  </si>
  <si>
    <t>HP3K H032</t>
  </si>
  <si>
    <t>Java SE 10</t>
  </si>
  <si>
    <t>Microsoft Internet Information Server</t>
  </si>
  <si>
    <t>HP-UX 11.23i</t>
  </si>
  <si>
    <t>Java SE 11</t>
  </si>
  <si>
    <t>Microsoft Internet Information Server 10</t>
  </si>
  <si>
    <t>EMC VNX5700 Data Mover</t>
  </si>
  <si>
    <t>HP-UX 11i</t>
  </si>
  <si>
    <t>Java SE 12</t>
  </si>
  <si>
    <t>Microsoft Internet Information Server 7</t>
  </si>
  <si>
    <t>Microsoft SQL Server Reporting Services</t>
  </si>
  <si>
    <t>HP-UX 11iv1</t>
  </si>
  <si>
    <t>Java SE 13</t>
  </si>
  <si>
    <t>Microsoft Internet Information Server 7.5</t>
  </si>
  <si>
    <t>MS SQL 2008+</t>
  </si>
  <si>
    <t>HP-UX B.11</t>
  </si>
  <si>
    <t>Java SE 14</t>
  </si>
  <si>
    <t>Microsoft Internet Information Server 8</t>
  </si>
  <si>
    <t>Oracle Database 10</t>
  </si>
  <si>
    <t>HP-UX B.11.11</t>
  </si>
  <si>
    <t>Java SE 9</t>
  </si>
  <si>
    <t>Microsoft Internet Information Server 8.5</t>
  </si>
  <si>
    <t>Oracle Database 11</t>
  </si>
  <si>
    <t>HP-UX B.11.11 U</t>
  </si>
  <si>
    <t>Microsoft Visual Basic .NET 4.5</t>
  </si>
  <si>
    <t>Microsoft Office 2010</t>
  </si>
  <si>
    <t>Oracle Database 18C</t>
  </si>
  <si>
    <t>HP-UX eux110 B.11.11 U 800</t>
  </si>
  <si>
    <t>Python 2.7</t>
  </si>
  <si>
    <t>Microsoft Office 2013</t>
  </si>
  <si>
    <t>Oracle Database version - 10.2.0.5.0</t>
  </si>
  <si>
    <t>HP-UX eux110 B.11.11 U 9000</t>
  </si>
  <si>
    <t>Python 3.2.2</t>
  </si>
  <si>
    <t>Microsoft Sharepoint</t>
  </si>
  <si>
    <t>Oracle Database Version - 12.1.0.2.0</t>
  </si>
  <si>
    <t>IBM 3850 series 4123 S6</t>
  </si>
  <si>
    <t>Shell Script in Pascal</t>
  </si>
  <si>
    <t>Microsoft Sharepoint 2010</t>
  </si>
  <si>
    <t>Oracle Database Version - 18.0.0.0.0</t>
  </si>
  <si>
    <t>IBM AIX N25</t>
  </si>
  <si>
    <t>Unix scripts - conda</t>
  </si>
  <si>
    <t>Microsoft Sharepoint 2013</t>
  </si>
  <si>
    <t>IBM G32</t>
  </si>
  <si>
    <t>Unix scripts - perl</t>
  </si>
  <si>
    <t>Microsoft Sharepoint 2016</t>
  </si>
  <si>
    <t>IBM Risc W23</t>
  </si>
  <si>
    <t>VB 10.0</t>
  </si>
  <si>
    <t>Microsoft Sharepoint Client Side Object Model (CSOM)</t>
  </si>
  <si>
    <t>IBM x Series 3550 M2</t>
  </si>
  <si>
    <t>VB 11.0</t>
  </si>
  <si>
    <t>NetWeaver Application Server ABAP v.7.4</t>
  </si>
  <si>
    <t>IBM X Series X05</t>
  </si>
  <si>
    <t>VB 12.0</t>
  </si>
  <si>
    <t>NetWeaver Application Server JAVA v.7.4</t>
  </si>
  <si>
    <t>IBM x346 3.9</t>
  </si>
  <si>
    <t>VB 14.0</t>
  </si>
  <si>
    <t>IBM x3650 2.0</t>
  </si>
  <si>
    <t>VB 15.x</t>
  </si>
  <si>
    <t>IBM X3850 M2</t>
  </si>
  <si>
    <t>VB 16.0</t>
  </si>
  <si>
    <t>OneDesk (v Win7)</t>
  </si>
  <si>
    <t>IBM x3950 M2</t>
  </si>
  <si>
    <t>VB 6.0</t>
  </si>
  <si>
    <t>OpenText Content Server</t>
  </si>
  <si>
    <t>Windows Server 2003</t>
  </si>
  <si>
    <t>VB 9.0</t>
  </si>
  <si>
    <t>Opentext Edocs</t>
  </si>
  <si>
    <t>Windows Server 2005</t>
  </si>
  <si>
    <t>Oracle Taleo 12B.10</t>
  </si>
  <si>
    <t>Oracle Taleo 12C.5</t>
  </si>
  <si>
    <t>Oracle Tuxedo Web Server 10.3</t>
  </si>
  <si>
    <t>Oracle WebLogic</t>
  </si>
  <si>
    <t>PeopleSoft</t>
  </si>
  <si>
    <t>Windows Server 2016</t>
  </si>
  <si>
    <t>PeopleSoft 8</t>
  </si>
  <si>
    <t>Windows Server 2019</t>
  </si>
  <si>
    <t>PeopleSoft 8.8</t>
  </si>
  <si>
    <t>PeopleSoft 8.9</t>
  </si>
  <si>
    <t>PeopleSoft People Tools</t>
  </si>
  <si>
    <t>PeopleSoft People Tools 8.5.1</t>
  </si>
  <si>
    <t>Profile Picture Synchronization 1.5</t>
  </si>
  <si>
    <t>SAP</t>
  </si>
  <si>
    <t>SAP ARIBA</t>
  </si>
  <si>
    <t>SAP Netweaver</t>
  </si>
  <si>
    <t>Secure FTP</t>
  </si>
  <si>
    <t>Skype for Business Lync Server v.2013</t>
  </si>
  <si>
    <t>Tibco Spotfire</t>
  </si>
  <si>
    <t>Weblogic Application Server 10.6.3</t>
  </si>
  <si>
    <t>WebServices</t>
  </si>
  <si>
    <t>Websphere Portal 8.5</t>
  </si>
  <si>
    <t>Microsoft Access 2013</t>
  </si>
  <si>
    <t>Microsoft Excel 2013</t>
  </si>
  <si>
    <t>No of Application Users</t>
  </si>
  <si>
    <t>User Types</t>
  </si>
  <si>
    <t>Usage growth trend</t>
  </si>
  <si>
    <t>Application response</t>
  </si>
  <si>
    <t>Stability and Performance Issues</t>
  </si>
  <si>
    <t>Technical SME's feedback on Pains and Challenges with the application</t>
  </si>
  <si>
    <t>Application Load Variation</t>
  </si>
  <si>
    <t>&lt;b&gt;No of Application Users&lt;/b&gt;</t>
  </si>
  <si>
    <t>&lt;b&gt;User Types&lt;/b&gt;</t>
  </si>
  <si>
    <t>&lt;b&gt;Usage growth trend&lt;/b&gt;</t>
  </si>
  <si>
    <t>&lt;b&gt;Application response&lt;/b&gt;</t>
  </si>
  <si>
    <t>&lt;b&gt;Stability and  Performance Issues&lt;/b&gt;</t>
  </si>
  <si>
    <t>&lt;b&gt;Application Load Variation&lt;/b&gt;</t>
  </si>
  <si>
    <t>No_of_App_Users</t>
  </si>
  <si>
    <t>0</t>
  </si>
  <si>
    <t>External</t>
  </si>
  <si>
    <t>Remains the same</t>
  </si>
  <si>
    <t>1. Unacceptable performance</t>
  </si>
  <si>
    <t>No Issue</t>
  </si>
  <si>
    <t>Audience</t>
  </si>
  <si>
    <t>1-100</t>
  </si>
  <si>
    <t>Internal</t>
  </si>
  <si>
    <t>Partially increase</t>
  </si>
  <si>
    <t>2. Frequently unresponsive</t>
  </si>
  <si>
    <t>1-5 performance or stability issue/3 months</t>
  </si>
  <si>
    <t>Usage_growth_trend</t>
  </si>
  <si>
    <t>101-500</t>
  </si>
  <si>
    <t>Both</t>
  </si>
  <si>
    <t>Heavily increase</t>
  </si>
  <si>
    <t>3. Slow at times</t>
  </si>
  <si>
    <t>5-15 performance or stability issues/3 months</t>
  </si>
  <si>
    <t>Stability_Performance_Issue</t>
  </si>
  <si>
    <t>501-1,000</t>
  </si>
  <si>
    <t>Heavily decrease</t>
  </si>
  <si>
    <t>5. Excellent response</t>
  </si>
  <si>
    <t>&gt; 30 performance or stability issues/3 months</t>
  </si>
  <si>
    <t>Technical_SME_Feedback</t>
  </si>
  <si>
    <t>1,001-5,000</t>
  </si>
  <si>
    <t>Application_Load_Variation</t>
  </si>
  <si>
    <t>5,000-10,000</t>
  </si>
  <si>
    <t>10,000+</t>
  </si>
  <si>
    <t># of Tickets in last 3 months</t>
  </si>
  <si>
    <t># of business change request in last 3 months</t>
  </si>
  <si>
    <t>Application Last Accessed</t>
  </si>
  <si>
    <t>&lt;b&gt;# of Tickets in last 3 months&lt;/b&gt;</t>
  </si>
  <si>
    <t>&lt;b&gt;# of business change request in last 3 months&lt;/b&gt;</t>
  </si>
  <si>
    <t>&lt;b&gt;Application Last Accessed&lt;/b&gt;</t>
  </si>
  <si>
    <t>Tickets_3_months</t>
  </si>
  <si>
    <t>0-10</t>
  </si>
  <si>
    <t>0-5</t>
  </si>
  <si>
    <t>Last 3 months</t>
  </si>
  <si>
    <t>Business_change_3_months</t>
  </si>
  <si>
    <t>11-50</t>
  </si>
  <si>
    <t>6-10</t>
  </si>
  <si>
    <t>Last 1 year</t>
  </si>
  <si>
    <t>Application_last_accessed</t>
  </si>
  <si>
    <t>51-100</t>
  </si>
  <si>
    <t>11-30</t>
  </si>
  <si>
    <t>Between 1 - 5 years</t>
  </si>
  <si>
    <t>&gt;200</t>
  </si>
  <si>
    <t>&gt;50</t>
  </si>
  <si>
    <t>Annual Software Maintenance Cost</t>
  </si>
  <si>
    <t>Annual Hardware Maintenance Cost</t>
  </si>
  <si>
    <t>Annual Application Support Cost</t>
  </si>
  <si>
    <t>Application Server – Facility Cost</t>
  </si>
  <si>
    <t>Application License Cost</t>
  </si>
  <si>
    <t>Annual_software</t>
  </si>
  <si>
    <t>Annual_hardware</t>
  </si>
  <si>
    <t>Annual_application_support</t>
  </si>
  <si>
    <t>Applicatino_license</t>
  </si>
  <si>
    <t>Surgir</t>
  </si>
  <si>
    <t>SAP by Design</t>
  </si>
  <si>
    <t>Santander Perú</t>
  </si>
  <si>
    <t>Virtual Assistant P&amp;C</t>
  </si>
  <si>
    <t>Data Analytics</t>
  </si>
  <si>
    <t>App Surgir</t>
  </si>
  <si>
    <t>Santander Consumer Perú</t>
  </si>
  <si>
    <t>Plataforma de Facturacion Electronica</t>
  </si>
  <si>
    <t>Contáctanos</t>
  </si>
  <si>
    <t>App Cliente</t>
  </si>
  <si>
    <t>Santander Fondos Colectivos</t>
  </si>
  <si>
    <t>Portal Web Público</t>
  </si>
  <si>
    <t>Lynx</t>
  </si>
  <si>
    <t>Factoring Data Lake Leads</t>
  </si>
  <si>
    <t>Monitor Plus (ETL) - Transaction Monitorig</t>
  </si>
  <si>
    <t>Dashboards Analytics</t>
  </si>
  <si>
    <t>Loan Tape</t>
  </si>
  <si>
    <t>Hiperfirmas</t>
  </si>
  <si>
    <t>Web Onboarding</t>
  </si>
  <si>
    <t>LBTR Novatronic</t>
  </si>
  <si>
    <t>Retenciones SUNAT</t>
  </si>
  <si>
    <t>Facturas Negociables</t>
  </si>
  <si>
    <t>GDS Modellica</t>
  </si>
  <si>
    <t>DATATEC</t>
  </si>
  <si>
    <t>Data Lakehouse Corporativo</t>
  </si>
  <si>
    <t>Reporte Helios</t>
  </si>
  <si>
    <t>Santo</t>
  </si>
  <si>
    <t>WorldSys</t>
  </si>
  <si>
    <t>AMLUpdate - Name Screening</t>
  </si>
  <si>
    <t>RatingPlus</t>
  </si>
  <si>
    <t>Zapier</t>
  </si>
  <si>
    <t>SCIB Perú</t>
  </si>
  <si>
    <t>Nuevo Office Banking</t>
  </si>
  <si>
    <t>Bantotal - Core Bancario</t>
  </si>
  <si>
    <t>Motor de Crédito</t>
  </si>
  <si>
    <t>Santi</t>
  </si>
  <si>
    <t>ERP Contanet</t>
  </si>
  <si>
    <t>Datalake</t>
  </si>
  <si>
    <t>Cobis</t>
  </si>
  <si>
    <t>CEEFFC</t>
  </si>
  <si>
    <t>Web Institucional</t>
  </si>
  <si>
    <t>Seir</t>
  </si>
  <si>
    <t>Motor TOP</t>
  </si>
  <si>
    <t>Cash Nexus</t>
  </si>
  <si>
    <t>Host to Host</t>
  </si>
  <si>
    <t>Sistema Office Banking</t>
  </si>
  <si>
    <t>Nazca AS400</t>
  </si>
  <si>
    <t>API OTP</t>
  </si>
  <si>
    <t>API Portal</t>
  </si>
  <si>
    <t>Venta Cartera</t>
  </si>
  <si>
    <t>Data Riesgos</t>
  </si>
  <si>
    <t>Docuclass</t>
  </si>
  <si>
    <t>Diloo</t>
  </si>
  <si>
    <t>ChatBot</t>
  </si>
  <si>
    <t>Gestión Portafolio PMO</t>
  </si>
  <si>
    <t>APMF0001067852</t>
  </si>
  <si>
    <t>APMF0001067421</t>
  </si>
  <si>
    <t>APMF0001066952</t>
  </si>
  <si>
    <t>APMF0001066860</t>
  </si>
  <si>
    <t>APMF0001066833</t>
  </si>
  <si>
    <t>APMF0001066014</t>
  </si>
  <si>
    <t>APMF0001065929</t>
  </si>
  <si>
    <t>APMF0001065693</t>
  </si>
  <si>
    <t>APMF0001063421</t>
  </si>
  <si>
    <t>APMF0001061398</t>
  </si>
  <si>
    <t>APMF0001061386</t>
  </si>
  <si>
    <t>APMF0001061269</t>
  </si>
  <si>
    <t>APMF0001061268</t>
  </si>
  <si>
    <t>APMF0001061267</t>
  </si>
  <si>
    <t>APMF0001061265</t>
  </si>
  <si>
    <t>APMF0001061264</t>
  </si>
  <si>
    <t>APMF0001061262</t>
  </si>
  <si>
    <t>APMF0001061261</t>
  </si>
  <si>
    <t>APMF0001061260</t>
  </si>
  <si>
    <t>APMF0001061254</t>
  </si>
  <si>
    <t>APMF0001061173</t>
  </si>
  <si>
    <t>APMF0001061027</t>
  </si>
  <si>
    <t>APMF0001061000</t>
  </si>
  <si>
    <t>APMF0001046520</t>
  </si>
  <si>
    <t>APMF0001045007</t>
  </si>
  <si>
    <t>APMF0001044383</t>
  </si>
  <si>
    <t>APMF0001044226</t>
  </si>
  <si>
    <t>APMF0001043386</t>
  </si>
  <si>
    <t>APMF0001041864</t>
  </si>
  <si>
    <t>APMF0001040584</t>
  </si>
  <si>
    <t>APMF0001038152</t>
  </si>
  <si>
    <t>APMF0001035655</t>
  </si>
  <si>
    <t>APMF0001035204</t>
  </si>
  <si>
    <t>APMF0001035203</t>
  </si>
  <si>
    <t>APMF0001035201</t>
  </si>
  <si>
    <t>APMF0001022615</t>
  </si>
  <si>
    <t>APMF0001022612</t>
  </si>
  <si>
    <t>APMF0001022613</t>
  </si>
  <si>
    <t>APMF0001022611</t>
  </si>
  <si>
    <t>APMF0001021795</t>
  </si>
  <si>
    <t>APMF0001021407</t>
  </si>
  <si>
    <t>APMF0001016364</t>
  </si>
  <si>
    <t>APMF0001013080</t>
  </si>
  <si>
    <t>APMF0001013065</t>
  </si>
  <si>
    <t>APMF0001013066</t>
  </si>
  <si>
    <t>APMF0001013063</t>
  </si>
  <si>
    <t>APMF0001013061</t>
  </si>
  <si>
    <t>Sistema ERP SAP para la gestión de procesos administrativos, financieros, contables y operativos. URL: https://my430488.businessbydesign.cloud.sap/sap/public/ap/ui/repository/SAP_UI/HTMLOBERON5/client.html</t>
  </si>
  <si>
    <t>Agente virtual (AV) para que los empleados mejoren el acceso a la información relacionada con aspectos de P, C&amp;O (como políticas de P, C&amp;O, procedimientos internos y comunicaciones con los empleados). La información se encuentra en Sharepoint.</t>
  </si>
  <si>
    <t>Sistema de reportes desarrollado en Power BI, que se alimentan de información de ETL's.</t>
  </si>
  <si>
    <t>Aplicativo utilizado por la red comercial para el ingreso de las solicitudes de créditos.</t>
  </si>
  <si>
    <t>Plataforma de emisión de comprobantes a lo clientes que realizan pagos de sus créditos.</t>
  </si>
  <si>
    <t>Página web para el registro de reclamos , requerimientos y quejas; que es usado por el Call Center. URL: http://180.194.16.208:81/#/reporte/contactanos</t>
  </si>
  <si>
    <t>App Cliente es una aplicación móvil que centraliza servicios bancarios y financieros, permitiendo a los usuarios gestionar su dinero, realizar transacciones, consultar saldos, pagar servicios desde un smartphone, ofreciendo comodidad, seguridad y ahorro de tiempo al reducir la necesidad de ir a oficinas físicas.</t>
  </si>
  <si>
    <t>Página Web Pública (Solo es informativo), solución táctica, en base al desarrollo de surgir 2024, alojado en Azure SURGIR, para realizar cambios es necesario la aprobación del comité. URL: http://www.santanderfondoscolectivos.com.pe/</t>
  </si>
  <si>
    <t>Plataforma para gestión de monitoreo y reglas de fraude.</t>
  </si>
  <si>
    <t>Se mostrará la gestión de los leads desde que se ingesta al Data Lake y se visualiza en el Power BI.</t>
  </si>
  <si>
    <t>Servidor que tiene SQL Server y ETLs para realizar la extracción de información del AS400, procesarla y enviarla mediante api a MonitorPlus (SaaS). Para la comunicación cuenta con VPN SiteToSite.</t>
  </si>
  <si>
    <t>Generación de reporteria con información general del banco al regulador europeo.</t>
  </si>
  <si>
    <t>Gestión y seguimiento de los requerimientos de Fiscalía: Módulos: Sociedades, Poderes y Garantías. Los dos primeros habilitados para funcionar en modalidad cliente/servior y WEB. Garantías se encuentra por desarrollar en la misma modal Funcionalidades: Lo más utilizado es la administración de la información de Poderes del Banco. Información habilitada para consulta por Intranet (todo el área Comercial) y específicamente para Cajas, Comercio Exterior, Cuentas Corrientes y los Centros de Proceso.</t>
  </si>
  <si>
    <t>Software que interactua entre LBTR rojo y CCE. Opera para las transaferenicas inmediatas.</t>
  </si>
  <si>
    <t>Mecanismo para asegurar el pago de impuestos  a la renta (IR) y (IGV)</t>
  </si>
  <si>
    <t>Servidor de conexión entre BSP y Cavali para la funcionalidad de Factoring.</t>
  </si>
  <si>
    <t>Es un aplicativo de desición para provisiones globales, se hace mantenimiento por bolsa de horas el proveedor gds modellica de España.</t>
  </si>
  <si>
    <t>Aplicación para generación de operaciones de cambio y negociaciones financieras usadas por el área de tesorería.</t>
  </si>
  <si>
    <t>Proyecto de Datalake de datos corporativos para flujos dentro de Santander Perú.</t>
  </si>
  <si>
    <t>Core: Sistema utilizado por los equipos de operaciones y contabilidad.</t>
  </si>
  <si>
    <t>Aplicación utilizada para la verificación y control de personas y entidades frente a listas de sanciones, observación y cumplimiento normativo. Permite automatizar procesos de validación en línea, apoyar la prevención de delitos financieros y garantizar el cumplimiento de las políticas de Financial Crime Compliance (FCC) del banco.</t>
  </si>
  <si>
    <t>Aplicación que calcula y gestiona el rating crediticio de los clientes del banco a nivel de cartera. Permite evaluar la calidad crediticia y el perfil de riesgo de cada cliente, integrando información financiera y comportamental para apoyar la gestión del riesgo y la toma de decisiones de crédito.</t>
  </si>
  <si>
    <t>Portal web corporativo que ofrece información institucional, productos y servicios financieros para clientes de Santander Consumer Perú, permitiendo además la autogestión y solicitud en línea de créditos y otros servicios.
La home solicita al usuario elegir a qué negocio quiere acceder:
   (1) Crédito vehicular -Auto-, transaccional: https://www.santanderconsumer.com.pe/autos
   (2) Soluciones crediticias -No auto- no transaccional: https://www.santanderconsumer.com.pe/personas</t>
  </si>
  <si>
    <t>Plataforma de integración que permite automatizar flujos de trabajo (factoring) entre aplicaciones mediante la conexión de sistemas sin necesidad de desarrollo adicional. Facilita la sincronización de datos y tareas entre herramientas corporativas, mejorando la eficiencia operativa y reduciendo intervenciones manuales.</t>
  </si>
  <si>
    <t>Herramienta del nuevo OOBB alojada en la LZONE.</t>
  </si>
  <si>
    <t>Sistema ERP SAP para la gestión de procesos administrativos, financieros, contables y operativos del negocio de Auto. URL: https://my430488.businessbydesign.cloud.sap/sap/public/ap/ui/repository/SAP_UI/HTMLOBERON5/client.html</t>
  </si>
  <si>
    <t>Core bancario Bantotal en modalidad SaaS, que da soporte a la actividad de créditos al consumo del negocio de Auto. URL: https://prod.scp.bantotal.com/bantotal/servlet/com.dlya.bantotal.hwelcome</t>
  </si>
  <si>
    <t>Motor de evaluación crediticia que analiza la capacidad y riesgo del solicitante para aprobación de créditos vehiculares del negocio Auto.</t>
  </si>
  <si>
    <t>Aplicación web que soporta el proceso originación y venta de créditos vehiculares, con agenda comercial para los ejecutivos comerciales del negocio. URL: https://nfsanti.santanderconsumer.com.pe/</t>
  </si>
  <si>
    <t>Sitio web público del negocio de Surgir, que facilita informarción institucional de la compañía, muestra el catálogo de productos y permite a los clientes solicitar una llamada para iniciar su contratación. Es un sitio no transaccional. Se migrará a Landing Zone. https://www.surgir.com.pe/</t>
  </si>
  <si>
    <t>Sistema ERP utilizado por Surgir, el negocio de microemprendedores de Santander en Perú, para la gestión contable, financiera y administrativa. Permite registrar y controlar las operaciones del negocio, asegurando la trazabilidad, la integridad de la información y el cumplimiento de las normativas locales y corporativas. La BBDD se encuentra en la Nube de SURGIR, se encuentra en planes de migración a SAP Contanet.</t>
  </si>
  <si>
    <t>Datalake en el que se almacenan datos generados por el core COBIS para generar informes regulatorios de pagos. Se encuentra en la Nube de SURGIR y se encuentra en el plan de migración a Landing Zone.</t>
  </si>
  <si>
    <t>Sistema Core Bancario modular permite gestionar los productos y servicios financieros del negocio Surgir (cuentas de ahorro, seguros de ahorro, depósitos a plazo y créditos), dirigidas a negocios de emprendedores unipersonales. Es un SaaS en AWS del propio proveedro COBIS TOPAZ. URL: https://www.web.surgir-pe.cobiscloud.com/CWC/services/cobis/web/bank/views/commons/login.html?</t>
  </si>
  <si>
    <t>Central de Estados financieros de clientes (Interno), Alberga los estados de cuenta de clientes gestionados por el área comercial para el área de Riesgos.</t>
  </si>
  <si>
    <t>Sistema Emisor de Informes Regulatorios - Auto. Aplicación que genera informes regulatorios periódicos en base a información del core (Bantotal), adicionales a los que genera Bantotal de serie.</t>
  </si>
  <si>
    <t>Base de datos local utilizada para el control y monitoreo de clientes con altas exposiciones crediticias. Permite consolidar información relevante para la gestión del riesgo, apoyar los procesos de seguimiento y cumplir con los lineamientos regulatorios y corporativos del banco.</t>
  </si>
  <si>
    <t>Solución tecnológica que actúa como capa de integración entre los sistemas internos del banco y la plataforma global Cash Nexus. Facilita la comunicación y el intercambio seguro de información relacionada con pagos, cuentas y servicios de tesorería internacional.
El middleware gestiona el enrutamiento, transformación y validación de mensajes entre las aplicaciones locales y el ecosistema Cash Nexus, asegurando la interoperabilidad, la trazabilidad de las transacciones y el cumplimiento de los estándares corporativos de seguridad y conectividad.
Propósito principal: Garantizar una conexión eficiente, segura y estandarizada entre los sistemas bancarios locales y la plataforma global Cash Nexus, optimizando la integración de servicios de tesorería y pagos internacionales.
Usuarios principales: Equipos de Tesorería, Operaciones, Tecnología y Banca Transaccional.</t>
  </si>
  <si>
    <t>Servicio de GTB para que los clientes que se conectan a través de su plataforma puedan enviar la información de los pagos a ejecutar.</t>
  </si>
  <si>
    <t>Core del Banco Santander Perú, para el negocio de empresas (Commercial). Incluye el terminal que permite a los equipos de operaciones ejecutar diversas acciones (lanzar transacciones, consulta de información, etc).</t>
  </si>
  <si>
    <t>8. On-Premise</t>
  </si>
  <si>
    <t>Mexico</t>
  </si>
  <si>
    <t>España</t>
  </si>
  <si>
    <t>AWS</t>
  </si>
  <si>
    <t>Azure</t>
  </si>
  <si>
    <t>DIANA OCHOA CASTILLO</t>
  </si>
  <si>
    <t>RENZO ALFREDO HUAYLLASCO CÁCERES</t>
  </si>
  <si>
    <t>LUIS NAVARRO NARVAEZ</t>
  </si>
  <si>
    <t>ADOLFO UNDA LAZARO</t>
  </si>
  <si>
    <t>ALFREDO LLONA ARIS</t>
  </si>
  <si>
    <t>JESUS DIAZ VALENZUELA</t>
  </si>
  <si>
    <t>JULIO EDUARDO NIÑO SUAREZ</t>
  </si>
  <si>
    <t>YELTSIN ANTONY ALAN SOTELO CAMONES</t>
  </si>
  <si>
    <t>Luis Alberto Barandiaran</t>
  </si>
  <si>
    <t>CLAUDIA VASQUEZ ULLOA</t>
  </si>
  <si>
    <t>DAVID PEDRO RIVAS QUINTANA</t>
  </si>
  <si>
    <t>RICARDO CATANI</t>
  </si>
  <si>
    <t>MARCO RISCO MEJIA</t>
  </si>
  <si>
    <t>ALONSO GUILLERMO SERRANO CARMONA</t>
  </si>
  <si>
    <t>CARLOS JUSCAMAITA MOGROVEJO</t>
  </si>
  <si>
    <t>ANA MARIA PADILLA JIL</t>
  </si>
  <si>
    <t>EKATERINI KIDONIS MARCHENA</t>
  </si>
  <si>
    <t>ALFREDO PEREZ KLAUER</t>
  </si>
  <si>
    <t>ALEXANDRA DIAZ FIGUEROA</t>
  </si>
  <si>
    <t>RAFAEL ANTENOR JOSE RIZO PATRON ECHECOPAR</t>
  </si>
  <si>
    <t>ROGGER ARTURO OSTOS CASIANO</t>
  </si>
  <si>
    <t>JUAN MANUEL MENESES BUCHANAN</t>
  </si>
  <si>
    <t>SAMUEL SANTIAGO VALDEOLMOS</t>
  </si>
  <si>
    <t>LUIS BOULLON GARCIA</t>
  </si>
  <si>
    <t>JORGE ALEJANDRO CASTILLO FUENTES</t>
  </si>
  <si>
    <t>PATRICIA DIAZ BUSTO</t>
  </si>
  <si>
    <t>Darwin Curisinche Rojas</t>
  </si>
  <si>
    <t>IVETTE DEL CARMEN CRUZ VARGAS DEL AGUILA</t>
  </si>
  <si>
    <t>GABRIELA SOLEDAD LASTARRIA FLORES</t>
  </si>
  <si>
    <t>LUIS CONTRERAS AVILA</t>
  </si>
  <si>
    <t>DANIELLA MARIA LETICIA PALACIOS LIZIER</t>
  </si>
  <si>
    <t>JAVIER SAVAGE ZIMMERMANN</t>
  </si>
  <si>
    <t>technological</t>
  </si>
  <si>
    <t>Anura</t>
  </si>
  <si>
    <t>Emblue</t>
  </si>
  <si>
    <t>Facephi</t>
  </si>
  <si>
    <t>Mapfre</t>
  </si>
  <si>
    <t>Tracklink</t>
  </si>
  <si>
    <t>Izipay Pagos en línea</t>
  </si>
  <si>
    <t>IBK Recaudación</t>
  </si>
  <si>
    <t>Lbtr</t>
  </si>
  <si>
    <t>Visor Cobranzas</t>
  </si>
  <si>
    <t>Api Market</t>
  </si>
  <si>
    <t>Facturación Electrónica - Auto</t>
  </si>
  <si>
    <t>SAP ByDesign - ERP</t>
  </si>
  <si>
    <t>Seguros La Positiva</t>
  </si>
  <si>
    <t>Equifax</t>
  </si>
  <si>
    <t>Pomelo</t>
  </si>
  <si>
    <t>Izypay</t>
  </si>
  <si>
    <t>Kasnet</t>
  </si>
  <si>
    <t>Masterbase</t>
  </si>
  <si>
    <t xml:space="preserve">Astara/SK Berge </t>
  </si>
  <si>
    <t>Web Pago Interno</t>
  </si>
  <si>
    <t xml:space="preserve">Qlik Sense </t>
  </si>
  <si>
    <t>Qlikview</t>
  </si>
  <si>
    <t>Lista Negativa</t>
  </si>
  <si>
    <t xml:space="preserve">SAP ByDesign </t>
  </si>
  <si>
    <t>Reporte Crediticio de Deudores</t>
  </si>
  <si>
    <t>Genesys Cloud</t>
  </si>
  <si>
    <t>APMF0001049960</t>
  </si>
  <si>
    <t>APMF0001022614</t>
  </si>
  <si>
    <t>APMF0001067771</t>
  </si>
  <si>
    <t>APMF0001067770</t>
  </si>
  <si>
    <t>APMF0001067527</t>
  </si>
  <si>
    <t>APMF0001067523</t>
  </si>
  <si>
    <t>APMF0001067521</t>
  </si>
  <si>
    <t>APMF0001067520</t>
  </si>
  <si>
    <t>APMF0001067419</t>
  </si>
  <si>
    <t>APMF0001067418</t>
  </si>
  <si>
    <t>APMF0001067032</t>
  </si>
  <si>
    <t>APMF0001055717</t>
  </si>
  <si>
    <t>APMF0001013067</t>
  </si>
  <si>
    <t>APMF0001067859</t>
  </si>
  <si>
    <t>APMF0001062990</t>
  </si>
  <si>
    <t>APMF0001052967</t>
  </si>
  <si>
    <t>APMF0001049917</t>
  </si>
  <si>
    <t>APMF0001042159</t>
  </si>
  <si>
    <t>APMF0001016373</t>
  </si>
  <si>
    <t>APMF0001016371</t>
  </si>
  <si>
    <t>APMF0001016370</t>
  </si>
  <si>
    <t>APMF0001067295</t>
  </si>
  <si>
    <t>APMF0001066220</t>
  </si>
  <si>
    <t>APMF0001064392</t>
  </si>
  <si>
    <t>APMF0001061172</t>
  </si>
  <si>
    <t>APMF0001061171</t>
  </si>
  <si>
    <t>APMF0001060705</t>
  </si>
  <si>
    <t>APMF0001040476</t>
  </si>
  <si>
    <t>APMF0001013070</t>
  </si>
  <si>
    <t>APMF0001065199</t>
  </si>
  <si>
    <t>Plataforma para el cumplimiento de FCC utilizada para el cruce y migrar a One FCC verificación de listas de sanciones, personas y entidades restringidas, consumido por los procesos de AML del negocio de Surgir a través de:
- API llamada por los procesos que requieren consultas de AML.
- Portal donde el área usuaria local (PLAFT) consulta el histórico de llamadas. URL: https://new.amlupdate.com/</t>
  </si>
  <si>
    <t>Servicio de atención telefónica en la nube del proveedor ANURA, incluye el personal. Es un SaaS arrendado al proveedor.</t>
  </si>
  <si>
    <t>Servicio de Plantillas para envío de correo electrónico del proveedor Emblue, que permite la captura de acciones del usuario final (abrir mensaje - similar a Danna Connect)</t>
  </si>
  <si>
    <t>Servicio de validación de morfología de documentos de identidad, validación de identidad por biometría, y servicio de firma digital del proveedor Facephi, utilizado por la aplicación Core Santo.</t>
  </si>
  <si>
    <t>Servicio de emisión y gestión de seguros con el proveedor Seguros Mapfre (API y Plataforma de Servicios).</t>
  </si>
  <si>
    <t>Servicio (API) de instalación y gestión de GPS con el proveedor Tracklink (Instalación de GPS a los vehiculos).</t>
  </si>
  <si>
    <t>Servicio de administración de documentos integrado del proveedor DocuClass.</t>
  </si>
  <si>
    <t>Servicio de envío de mensajería por SMS del proveedor Diloo.</t>
  </si>
  <si>
    <t>Servicio de pagos en línea del proveedor Izipay</t>
  </si>
  <si>
    <t>Servicio de recaudación bancaria del proveedor Banco INTERBANK (Archivo con información enviado por FTP para la recaudación de Fondos Colectivos).</t>
  </si>
  <si>
    <t>Plataforma para el cumplimiento de FCC utilizada para el cruce y migrar a One FCC verificación de listas de sanciones, personas y entidades restringidas, consumido por los procesos de AML del negocio de Fondos Colectivos a través de:
- API llamada por los procesos que requieren consultas de AML.
- Portal donde el área usuaria local (PLAFT) consulta el histórico de llamadas. URL: https://new.amlupdate.com/</t>
  </si>
  <si>
    <t>Sistema principal de Fondos Colectivos provisto por el proveedor SoftTek, integrado a Azure AD, base de datos Azure SQL (Costo de Infra + Costo de Servicio).
- Core: Sistema utilizado por los equipos de operaciones y contabilidad
- Front: Sistema utilizado por los ejecutivos de ventas y operaciones
- Plaft: Sistema utilizado por el equipo de Plaft para la configuración de reglas y monitoreo de transacciones
- Firma: Web donde los clientes se autentican con su usuario, documento de identidad e identificación biométrica para firmar digitalmente los documentos de la empresa
- Pagos: Web donde los clientes visualizan los pagos pendientes a realizar y efectúan los pagos de sus obligaciones pendientes
- Reclamos: Sistema utilizado por el equipo de operaciones para la gestión de requerimientos y reclamos</t>
  </si>
  <si>
    <t>Gestión y realización de transferencias interbancarias BCRP.</t>
  </si>
  <si>
    <t>Portal del banco Santander Perú que expone la banca privada de la organizacion.
https://www.santander.com.pe/BSP/home/index2.html</t>
  </si>
  <si>
    <t>SaaS para mensajeria hacia clientes mediante mensaje de SMS.
https://dilootu.com</t>
  </si>
  <si>
    <t>Estado de Cliente morosos</t>
  </si>
  <si>
    <t>Plataforma de APIS Públicas que serán expuestas a empresas del grupo Santander y otras empresas externas.
Conjunto de apis , de evaluacion del cliente (devuelve si el cliente es apto para un credito vehicular y asi mismo inyecta en Santi) ; es una extencion de santi
https://apimarket.santanderconsumer.com.pe/access-token/
https://apimarket.santanderconsumer.com.pe/api/int/v1/pre-assessment/evaluate
https://apimarket.santanderconsumer.com.pe/api/int/v1/inquiry-disbursement/find-status</t>
  </si>
  <si>
    <t>Plataforma para el cumplimiento de FCC utilizada para el cruce y migrar a One FCC verificación de listas de sanciones, personas y entidades restringidas, consumido por los procesos de AML del negocio de Santander Consumer Perú a través de:
- API llamada por los procesos que requieren consultas de AML.
- Portal donde el área usuaria local (PLAFT) consulta el histórico de llamadas. URL: https://new.amlupdate.com/</t>
  </si>
  <si>
    <t>Aplicación que permite la configuración y parametrización de la emisión, gestión y monitoreo de comprobantes electrónicos, ofreciendo una interfaz web para usuarios internos y externos. Facilita la trazabilidad del proceso de facturación y asegura el cumplimiento de los requisitos tributarios vigentes.
Componentes Técnicos:
- FE - Batch Emision.
- FE - Batch Recepcion.
- API de conexión a Base de Datos.
- Batch de extracción de Datos.</t>
  </si>
  <si>
    <t>Servicio externo de broker de seguros de auto en el que se endosan los seguros de los créditos vehiculares (cotización y oferta comercial de seguro del vehículo para el cliente).</t>
  </si>
  <si>
    <t>Portal de consulta del historial crediticio de clientes (para consultas manuales y contingencia). URL: https://ws.equifax.com.pe/efx-app-ws-expertosantandercv/cliente/datoscv</t>
  </si>
  <si>
    <t>Aplicación de Gestión Documentaria para subir todas las solicitudes de créditos. URL: https://santander1.mydocuclass.com/home</t>
  </si>
  <si>
    <t>Administrador de tarjetas</t>
  </si>
  <si>
    <t>Pasarela de pagos de la web de scp</t>
  </si>
  <si>
    <t>Recaudadora de pagos de cuota , cancelaciones y amortizaciones</t>
  </si>
  <si>
    <t>Servicio de WHATSAP</t>
  </si>
  <si>
    <t>SaaS para mensajeria hacia clientes mediante mensaje de correo electrónico.
https://api2024.masterbase.com</t>
  </si>
  <si>
    <t>La solución consiste en una plataforma de Power-Apps diseñada para centralizar la información de los iniciativas gestionados por la PMO.
La aplicación permite el registro actualización y consulta de la información del portafolio de iniciativas y también al registro, actualización y consulta de la información de cada propuesta relacionada al iniciativa, de manera que se asegure la consistencia y trazabilidad de la información.
A través de la aplicación, los usuarios podrán registrar información de los iniciativas y propuestas, mantener actualizada la información de cada iniciativa y propuesta, adjuntar la documentación relevante para cada iniciativa y propuesta y visualizar el estado consolidado del portafolio mediante vistas centralizadas y de un dashboard con indicadores, y todo de ello bajo un control de accesos según los perfiles establecidos.
La aplicación es de uso interno y se integra con los servicios proporcionados por Microsoft 365 tanto para el almacenamiento de información (SharePoint) y Soporte (Outlook).
El aplicativo Power-Apps de Centralización de Información de la PMO apunta a convertirse en la plataforma única para el registro, seguimiento y consolidación de la información de los iniciativas y las propuestas de cada iniciativa
El aplicativo busca eliminar la no consistencia de información entre las plataformas actuales donde completan la información (Excel de Alexandría y SharePoint), mejorar la trazabilidad de la información a lo largo de todo el ciclo de vida de los iniciativas.
Esta dirigida a la PMO y a los stakeholders relacionados, proporcionando visibilidad del estado general del portafolio y detalle de cada iniciativa y propuestas de cada iniciativa, facilitando la toma de decisiones y fortaleciendo el gobierno de los iniciativas mediante reglas y controles definidos.</t>
  </si>
  <si>
    <t>Servidor en DMZ donde se conecta ASTARA para consumir APIS publicadas por banco para el uso de floor plan.</t>
  </si>
  <si>
    <t>Lista de procesos extraen información de distintas base de datos y se muestra en distintas area de operación.</t>
  </si>
  <si>
    <t>Portal web alojado en el ambiente de OOBB que permite al usuario externo registrar la información necesaria para ser cliente del banco. El sistema realiza validaciones de Países Prohibidos, Scoring y consultas con Gesintel (listas negras, terrorismo, etc).
La información es almacenada en la BD Intermedia (mismo servidor de BD que el OOBB) luego envía al Core para que operaciones confirmen la información y procedan a dar de alta como cliente.
https://www.santander.com.pe/BSP/registrocliente/#/auth/login</t>
  </si>
  <si>
    <t>Pago de servicios Banbif, Conexión desde OOBB a dos máquina de salto hasta banbif, ida y vuelta.</t>
  </si>
  <si>
    <t>Herramienta de Inteligencia de Negocios para el análisis de información 2022.</t>
  </si>
  <si>
    <t>Herramienta de Inteligencia de Negocios para el análisis de información 2012.</t>
  </si>
  <si>
    <t>Aplicación web que gestiona carga de listas negativas para cruce con base de clientes y no clientes del banco a fin de identificar casos de revisión a nivel del área de cumplimiento.
http://180.194.15.150/Bsp.CruceListas.Front</t>
  </si>
  <si>
    <t>Plataforma para el cumplimiento de FCC utilizada para el cruce y migrar a One FCC verificación de listas de sanciones, personas y entidades restringidas, consumido por los procesos de AML del negocio de Santander Perú a través de:
- API llamada por los procesos que requieren consultas de AML.
- Portal donde el área usuaria local (PLAFT) consulta el histórico de llamadas. URL: https://new.amlupdate.com/</t>
  </si>
  <si>
    <t>Sistema ERP que brinda buenas prácticas en la operativa de Administración, Finanzas, Contabilidad y Operaciones.</t>
  </si>
  <si>
    <t>Portal web oficial que ofrece información corporativa, productos y servicios financieros del Banco Santander Perú. Sirve como canal de comunicación institucional y punto de acceso para clientes y usuarios interesados en los servicios del banco, garantizando disponibilidad, seguridad y cumplimiento de las directrices de marca y normativas locales.
https://www.santander.com.pe</t>
  </si>
  <si>
    <t>Aplicación que genera informes de clientes con incumplimientos en sus obligaciones de pago, utilizando información del core bancario Nazca, para cumplimiento regulatorio.</t>
  </si>
  <si>
    <t>Es una plataforma cloud para gestionar centros de contactos , comunicaciones y experiencia cliente / empleado con capacidades omnicanal.</t>
  </si>
  <si>
    <t>ARIANA PEREZ ESCOBAR</t>
  </si>
  <si>
    <t>JULIO CESAR CABRERA LAVADO</t>
  </si>
  <si>
    <t>JUAN MANUEL CHIRITO LEON</t>
  </si>
  <si>
    <t>CHRISTIAN POMAZÓN OBREGÓN</t>
  </si>
  <si>
    <t>MARIA FERNANDA HEROS CALLIRGOS</t>
  </si>
  <si>
    <t>CESAR NEVADO MURAKAMI</t>
  </si>
  <si>
    <t>DOLLY CLAUDIA GALDAMES REVOREDO</t>
  </si>
  <si>
    <t>TCS</t>
  </si>
  <si>
    <t>GESINTEL</t>
  </si>
  <si>
    <t>Softtek</t>
  </si>
  <si>
    <t>Vector</t>
  </si>
  <si>
    <t>Bantotal</t>
  </si>
  <si>
    <t>El producto funciona bien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</si>
</sst>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1"/>
      <color indexed="8"/>
      <name val="Calibri"/>
      <family val="2"/>
    </font>
    <font>
      <b/>
      <sz val="11"/>
      <color indexed="10"/>
      <name val="Calibri"/>
      <family val="2"/>
    </font>
    <font>
      <b/>
      <sz val="11"/>
      <color indexed="12"/>
      <name val="Calibri"/>
      <family val="2"/>
    </font>
    <font>
      <sz val="11"/>
      <color rgb="FF000000"/>
      <name val="Calibri"/>
    </font>
    <font>
      <sz val="11"/>
      <color theme="1"/>
      <name val="Calibri"/>
    </font>
    <font>
      <sz val="11"/>
      <color rgb="FF000000"/>
      <name val="Aptos Narrow"/>
    </font>
  </fonts>
  <fills count="4">
    <fill>
      <patternFill patternType="none"/>
    </fill>
    <fill>
      <patternFill patternType="gray125"/>
    </fill>
    <fill>
      <patternFill patternType="solid">
        <fgColor rgb="FF3366FF"/>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22">
    <xf numFmtId="0" fontId="0" fillId="0" borderId="0" xfId="0"/>
    <xf numFmtId="0" fontId="1" fillId="2" borderId="0" xfId="1" applyFill="1" applyProtection="1">
      <protection locked="0"/>
    </xf>
    <xf numFmtId="0" fontId="2" fillId="2" borderId="0" xfId="1" applyFont="1" applyFill="1" applyAlignment="1" applyProtection="1">
      <alignment horizontal="center" wrapText="1"/>
      <protection locked="0"/>
    </xf>
    <xf numFmtId="0" fontId="1" fillId="0" borderId="0" xfId="1" applyProtection="1">
      <protection locked="0"/>
    </xf>
    <xf numFmtId="49" fontId="1" fillId="0" borderId="0" xfId="1" applyNumberFormat="1" applyProtection="1">
      <protection locked="0"/>
    </xf>
    <xf numFmtId="49" fontId="1" fillId="0" borderId="0" xfId="1" applyNumberFormat="1" applyAlignment="1" applyProtection="1">
      <alignment wrapText="1"/>
      <protection locked="0"/>
    </xf>
    <xf numFmtId="0" fontId="1" fillId="0" borderId="0" xfId="1" applyAlignment="1" applyProtection="1">
      <alignment wrapText="1"/>
      <protection locked="0"/>
    </xf>
    <xf numFmtId="0" fontId="1" fillId="3" borderId="0" xfId="1" applyFill="1" applyProtection="1">
      <protection locked="0"/>
    </xf>
    <xf numFmtId="0" fontId="3" fillId="0" borderId="0" xfId="1" applyFont="1" applyAlignment="1" applyProtection="1">
      <alignment horizontal="center"/>
      <protection locked="0"/>
    </xf>
    <xf numFmtId="0" fontId="1" fillId="0" borderId="1" xfId="1" applyBorder="1" applyProtection="1">
      <protection locked="0"/>
    </xf>
    <xf numFmtId="0" fontId="1" fillId="0" borderId="0" xfId="1" applyAlignment="1" applyProtection="1">
      <alignment horizontal="center"/>
      <protection locked="0"/>
    </xf>
    <xf numFmtId="0" fontId="1" fillId="0" borderId="0" xfId="1" applyAlignment="1" applyProtection="1">
      <alignment vertical="center"/>
      <protection locked="0"/>
    </xf>
    <xf numFmtId="0" fontId="1" fillId="0" borderId="0" xfId="1" applyAlignment="1" applyProtection="1">
      <alignment horizontal="left" vertical="center"/>
      <protection locked="0"/>
    </xf>
    <xf numFmtId="49" fontId="1" fillId="0" borderId="0" xfId="1" applyNumberFormat="1" applyAlignment="1" applyProtection="1">
      <alignment horizontal="left" vertical="center"/>
      <protection locked="0"/>
    </xf>
    <xf numFmtId="0" fontId="1" fillId="0" borderId="0" xfId="1" applyAlignment="1" applyProtection="1">
      <alignment vertical="center" wrapText="1"/>
      <protection locked="0"/>
    </xf>
    <xf numFmtId="49" fontId="1" fillId="0" borderId="0" xfId="1" applyNumberFormat="1" applyAlignment="1" applyProtection="1">
      <alignment vertical="center"/>
      <protection locked="0"/>
    </xf>
    <xf numFmtId="0" fontId="1" fillId="2" borderId="0" xfId="1" applyFill="1" applyAlignment="1" applyProtection="1">
      <alignment horizontal="left" vertical="center"/>
      <protection locked="0"/>
    </xf>
    <xf numFmtId="0" fontId="2" fillId="2" borderId="0" xfId="1" applyFont="1" applyFill="1" applyAlignment="1" applyProtection="1">
      <alignment horizontal="left" vertical="center" wrapText="1"/>
      <protection locked="0"/>
    </xf>
    <xf numFmtId="0" fontId="4" fillId="0" borderId="1" xfId="0" applyFont="1" applyBorder="1" applyAlignment="1">
      <alignment vertical="center" wrapText="1"/>
    </xf>
    <xf numFmtId="0" fontId="5" fillId="0" borderId="1" xfId="0" applyFont="1" applyBorder="1"/>
    <xf numFmtId="0" fontId="4" fillId="0" borderId="2" xfId="0" applyFont="1" applyBorder="1" applyAlignment="1">
      <alignment vertical="center" wrapText="1"/>
    </xf>
    <xf numFmtId="0" fontId="6" fillId="0" borderId="2" xfId="0" applyFont="1" applyBorder="1" applyAlignment="1">
      <alignment wrapText="1"/>
    </xf>
  </cellXfs>
  <cellStyles count="2">
    <cellStyle name="Normal" xfId="0" builtinId="0"/>
    <cellStyle name="Normal 2" xfId="1" xr:uid="{3BFCD75F-8A8A-45E9-97D8-4337393822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outlook.office.com/owa/wopi/files/b79959bb-e616-4eb9-96ba-e2ce821bc78d@tcs.com/AAMkAGI3OTk1OWJiLWU2MTYtNGViOS05NmJhLWUyY2U4MjFiYzc4ZABGAAAAAACPd96nM6DSSppqpU0yie17BwAMF4Ggf169TKztOLBFl7FHAAAAAAEPAACz459uc7VER51khnSOJl54AACvz0KFAAABEgAQAGc00DSZDJNJnEbDklI8zhQ=_OX5LWl.T3AgBAQAAAAA=/WOPIServiceId_FP_EXCHANGE_ORGID/WOPIUserId_914a5e7e-8543-4e11-b000-1e17e26a9c84/TAF_DataCollection_Santander_Peru%20V1.xlsm" TargetMode="External"/><Relationship Id="rId2" Type="http://schemas.microsoft.com/office/2019/04/relationships/externalLinkLongPath" Target="https://outlook.office.com/owa/wopi/files/b79959bb-e616-4eb9-96ba-e2ce821bc78d@tcs.com/AAMkAGI3OTk1OWJiLWU2MTYtNGViOS05NmJhLWUyY2U4MjFiYzc4ZABGAAAAAACPd96nM6DSSppqpU0yie17BwAMF4Ggf169TKztOLBFl7FHAAAAAAEPAACz459uc7VER51khnSOJl54AACvz0KFAAABEgAQAGc00DSZDJNJnEbDklI8zhQ=_OX5LWl.T3AgBAQAAAAA=/WOPIServiceId_FP_EXCHANGE_ORGID/WOPIUserId_914a5e7e-8543-4e11-b000-1e17e26a9c84/TAF_DataCollection_Santander_Peru%20V1.xlsm?36749A5C" TargetMode="External"/><Relationship Id="rId1" Type="http://schemas.openxmlformats.org/officeDocument/2006/relationships/externalLinkPath" Target="file:///\\36749A5C\TAF_DataCollection_Santander_Peru%20V1.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20260518_Resultados_revisi&#243;n_APMT_Per&#250;_v34.xlsx" TargetMode="External"/><Relationship Id="rId2" Type="http://schemas.openxmlformats.org/officeDocument/2006/relationships/externalLinkPath" Target="https://santandernet.sharepoint.com/sites/CTO-SantanderPer/Shared%20Documents/07_Proyectos/03_Dise&#241;o_Arquitectura/00_Material/03_As_Is_Documentos/20260518_Resultados_revisi&#243;n_APMT_Per&#250;_v34.xlsx" TargetMode="External"/><Relationship Id="rId1" Type="http://schemas.openxmlformats.org/officeDocument/2006/relationships/externalLinkPath" Target="/sites/CTO-SantanderPer/Shared%20Documents/07_Proyectos/03_Dise&#241;o_Arquitectura/00_Material/03_As_Is_Documentos/20260518_Resultados_revisi&#243;n_APMT_Per&#250;_v3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Notice IP"/>
      <sheetName val="Read Me"/>
      <sheetName val="Application Info"/>
      <sheetName val="Stakeholders"/>
      <sheetName val="Business Info"/>
      <sheetName val="Technical Info"/>
      <sheetName val="Technical Platforms"/>
      <sheetName val="Usage"/>
      <sheetName val="Maintenance"/>
      <sheetName val="Costs - Optional"/>
    </sheetNames>
    <sheetDataSet>
      <sheetData sheetId="0"/>
      <sheetData sheetId="1"/>
      <sheetData sheetId="2">
        <row r="2">
          <cell r="GB2" t="str">
            <v>Local Country</v>
          </cell>
          <cell r="GC2" t="str">
            <v>1. Cloud</v>
          </cell>
          <cell r="GD2" t="str">
            <v>Infrastructure</v>
          </cell>
          <cell r="GE2" t="str">
            <v>COTS OOB</v>
          </cell>
          <cell r="GF2" t="str">
            <v>0-3 yrs</v>
          </cell>
          <cell r="GG2" t="str">
            <v>Decommissioned</v>
          </cell>
        </row>
        <row r="3">
          <cell r="GB3" t="str">
            <v>US</v>
          </cell>
          <cell r="GC3" t="str">
            <v>2. Desktop</v>
          </cell>
          <cell r="GD3" t="str">
            <v>Security</v>
          </cell>
          <cell r="GE3" t="str">
            <v>COTS Customized</v>
          </cell>
          <cell r="GF3" t="str">
            <v>4-6 yrs</v>
          </cell>
          <cell r="GG3" t="str">
            <v>Duplicate</v>
          </cell>
        </row>
        <row r="4">
          <cell r="GB4" t="str">
            <v>International</v>
          </cell>
          <cell r="GC4" t="str">
            <v>3. Hybrid cloud</v>
          </cell>
          <cell r="GD4" t="str">
            <v>End User Computing</v>
          </cell>
          <cell r="GE4" t="str">
            <v>Vendor Custom</v>
          </cell>
          <cell r="GF4" t="str">
            <v>7-10 yrs</v>
          </cell>
          <cell r="GG4" t="str">
            <v>In-Scope</v>
          </cell>
        </row>
        <row r="5">
          <cell r="GB5" t="str">
            <v>Not Applicable</v>
          </cell>
          <cell r="GC5" t="str">
            <v>5. SaaS</v>
          </cell>
          <cell r="GD5" t="str">
            <v>Enterprise App</v>
          </cell>
          <cell r="GE5" t="str">
            <v>Not Applicable</v>
          </cell>
          <cell r="GF5" t="str">
            <v>&gt;15 yrs</v>
          </cell>
          <cell r="GG5" t="str">
            <v>Out-of Scope</v>
          </cell>
        </row>
        <row r="6">
          <cell r="GB6" t="str">
            <v>Not Available</v>
          </cell>
          <cell r="GC6" t="str">
            <v>6. Sharepoint</v>
          </cell>
          <cell r="GD6" t="str">
            <v>IT Application</v>
          </cell>
          <cell r="GE6" t="str">
            <v>In House Developed</v>
          </cell>
          <cell r="GF6" t="str">
            <v>Not Applicable</v>
          </cell>
          <cell r="GG6" t="str">
            <v>In Active</v>
          </cell>
        </row>
        <row r="7">
          <cell r="GC7" t="str">
            <v>7.Vendor sit</v>
          </cell>
          <cell r="GF7" t="str">
            <v>Not Available</v>
          </cell>
          <cell r="GG7" t="str">
            <v>Already on Cloud</v>
          </cell>
        </row>
        <row r="8">
          <cell r="GG8" t="str">
            <v>To be Retired</v>
          </cell>
        </row>
      </sheetData>
      <sheetData sheetId="3"/>
      <sheetData sheetId="4">
        <row r="2">
          <cell r="GB2" t="str">
            <v>All</v>
          </cell>
          <cell r="GC2" t="str">
            <v>All</v>
          </cell>
          <cell r="GD2" t="str">
            <v>Strategic</v>
          </cell>
          <cell r="GE2" t="str">
            <v>Critical</v>
          </cell>
          <cell r="GF2" t="str">
            <v>C1 Public</v>
          </cell>
          <cell r="GG2" t="str">
            <v>1 - Complies fully</v>
          </cell>
          <cell r="GH2" t="str">
            <v>1-Does not fit at all</v>
          </cell>
          <cell r="GI2" t="str">
            <v>5 Highest</v>
          </cell>
        </row>
        <row r="3">
          <cell r="GD3" t="str">
            <v>Tactical</v>
          </cell>
          <cell r="GE3" t="str">
            <v>High</v>
          </cell>
          <cell r="GF3" t="str">
            <v>C2 Internal</v>
          </cell>
          <cell r="GG3" t="str">
            <v>1 - Not Applicable / Complies fully</v>
          </cell>
          <cell r="GH3" t="str">
            <v>2-Below Average - Need major modification</v>
          </cell>
          <cell r="GI3" t="str">
            <v>4</v>
          </cell>
        </row>
        <row r="4">
          <cell r="GD4" t="str">
            <v>Legacy</v>
          </cell>
          <cell r="GE4" t="str">
            <v>Medium</v>
          </cell>
          <cell r="GF4" t="str">
            <v>C3 Confidential</v>
          </cell>
          <cell r="GG4" t="str">
            <v>2 - Minor Non compliance</v>
          </cell>
          <cell r="GH4" t="str">
            <v>3-Average - Need moderate modification for business function fitment</v>
          </cell>
          <cell r="GI4" t="str">
            <v>3</v>
          </cell>
        </row>
        <row r="5">
          <cell r="GE5" t="str">
            <v>Not Applicable</v>
          </cell>
          <cell r="GF5" t="str">
            <v>Not Applicable</v>
          </cell>
          <cell r="GG5" t="str">
            <v>4 - Major Non compliance</v>
          </cell>
          <cell r="GH5" t="str">
            <v>5-Meets all Business needs</v>
          </cell>
          <cell r="GI5" t="str">
            <v>1  Lowest</v>
          </cell>
        </row>
        <row r="6">
          <cell r="GE6" t="str">
            <v>Unknown</v>
          </cell>
          <cell r="GF6" t="str">
            <v>Unknown</v>
          </cell>
          <cell r="GG6" t="str">
            <v>5 - Extremely critical non compliance</v>
          </cell>
          <cell r="GH6" t="str">
            <v>Unknown</v>
          </cell>
          <cell r="GI6" t="str">
            <v>Unknown</v>
          </cell>
        </row>
        <row r="7">
          <cell r="GG7" t="str">
            <v>Unknown</v>
          </cell>
        </row>
        <row r="8">
          <cell r="GG8" t="str">
            <v>Not Applicable</v>
          </cell>
        </row>
        <row r="9">
          <cell r="GG9" t="str">
            <v>Not Available</v>
          </cell>
        </row>
      </sheetData>
      <sheetData sheetId="5">
        <row r="2">
          <cell r="GB2" t="str">
            <v>Client-server</v>
          </cell>
          <cell r="GC2" t="str">
            <v>Non Gui - Character oriented</v>
          </cell>
          <cell r="GD2" t="str">
            <v>File Transfer</v>
          </cell>
          <cell r="GE2" t="str">
            <v>ADO.NET</v>
          </cell>
          <cell r="GF2" t="str">
            <v>Yes</v>
          </cell>
          <cell r="GG2" t="str">
            <v>No Interface</v>
          </cell>
          <cell r="GH2" t="str">
            <v>High</v>
          </cell>
          <cell r="GI2" t="str">
            <v>System of Innovation(SOI)</v>
          </cell>
        </row>
        <row r="3">
          <cell r="GB3" t="str">
            <v>Mainframe</v>
          </cell>
          <cell r="GC3" t="str">
            <v>Non Web based Gui</v>
          </cell>
          <cell r="GD3" t="str">
            <v>RPC</v>
          </cell>
          <cell r="GE3" t="str">
            <v>AngularJS</v>
          </cell>
          <cell r="GF3" t="str">
            <v>No</v>
          </cell>
          <cell r="GG3" t="str">
            <v>Minimal Impact</v>
          </cell>
          <cell r="GH3" t="str">
            <v>Medium</v>
          </cell>
          <cell r="GI3" t="str">
            <v>System of Differentiation(SDD)</v>
          </cell>
        </row>
        <row r="4">
          <cell r="GB4" t="str">
            <v>Monolithic</v>
          </cell>
          <cell r="GC4" t="str">
            <v>Web - Thin Client</v>
          </cell>
          <cell r="GD4" t="str">
            <v>Point to Point Message passing</v>
          </cell>
          <cell r="GE4" t="str">
            <v>Apache Tomcat</v>
          </cell>
          <cell r="GF4" t="str">
            <v>Not Available</v>
          </cell>
          <cell r="GG4" t="str">
            <v>Low impact</v>
          </cell>
          <cell r="GH4" t="str">
            <v>Low</v>
          </cell>
          <cell r="GI4" t="str">
            <v>System of Record(SOR)</v>
          </cell>
        </row>
        <row r="5">
          <cell r="GB5" t="str">
            <v>Multi-tier Non Web</v>
          </cell>
          <cell r="GC5" t="str">
            <v>Web - Smart Client / Rich Internet Application</v>
          </cell>
          <cell r="GD5" t="str">
            <v>Message Broker</v>
          </cell>
          <cell r="GE5" t="str">
            <v>Apache Tomcat 6.x</v>
          </cell>
          <cell r="GF5" t="str">
            <v>Not Applicable</v>
          </cell>
          <cell r="GG5" t="str">
            <v>Moderate impact</v>
          </cell>
          <cell r="GH5" t="str">
            <v>Unknown</v>
          </cell>
          <cell r="GI5" t="str">
            <v>Unknown</v>
          </cell>
        </row>
        <row r="6">
          <cell r="GB6" t="str">
            <v>SaaS / Cloud based</v>
          </cell>
          <cell r="GC6" t="str">
            <v>Mobile Client</v>
          </cell>
          <cell r="GD6" t="str">
            <v>Workflow based</v>
          </cell>
          <cell r="GE6" t="str">
            <v>Apache Tomcat 7.x</v>
          </cell>
          <cell r="GG6" t="str">
            <v>Severe impact</v>
          </cell>
          <cell r="GH6" t="str">
            <v>Not Available</v>
          </cell>
          <cell r="GI6" t="str">
            <v>Not Available</v>
          </cell>
        </row>
        <row r="7">
          <cell r="GB7" t="str">
            <v>Service Oriented</v>
          </cell>
          <cell r="GC7" t="str">
            <v>Terminal Services / VDI</v>
          </cell>
          <cell r="GD7" t="str">
            <v>Content Collaboration</v>
          </cell>
          <cell r="GE7" t="str">
            <v>Apache Tomcat 8.x</v>
          </cell>
          <cell r="GG7" t="str">
            <v>Unknown</v>
          </cell>
          <cell r="GI7" t="str">
            <v>Not Applicable</v>
          </cell>
        </row>
        <row r="8">
          <cell r="GB8" t="str">
            <v>Web based Multi tier</v>
          </cell>
          <cell r="GC8" t="str">
            <v>Multichannel integrated - Mobile GUI / IVR / Social network support</v>
          </cell>
          <cell r="GD8" t="str">
            <v>Not Available</v>
          </cell>
          <cell r="GE8" t="str">
            <v>Apache Web Server</v>
          </cell>
          <cell r="GG8" t="str">
            <v>Not Applicable</v>
          </cell>
        </row>
        <row r="9">
          <cell r="GB9" t="str">
            <v>Component Based</v>
          </cell>
          <cell r="GC9" t="str">
            <v>Not Available</v>
          </cell>
          <cell r="GD9" t="str">
            <v>Point to Point through shared database</v>
          </cell>
          <cell r="GE9" t="str">
            <v>Apache Web Server 2.0</v>
          </cell>
          <cell r="GG9" t="str">
            <v>Not Available</v>
          </cell>
        </row>
        <row r="10">
          <cell r="GB10" t="str">
            <v>Not Available</v>
          </cell>
          <cell r="GC10" t="str">
            <v>Not Applicable</v>
          </cell>
          <cell r="GD10" t="str">
            <v>Data Feed/ ETL / Batch</v>
          </cell>
          <cell r="GE10" t="str">
            <v>Apache Web Server 2.2</v>
          </cell>
        </row>
        <row r="11">
          <cell r="GD11" t="str">
            <v>Service Oriented Integration</v>
          </cell>
          <cell r="GE11" t="str">
            <v>Apache Web Server 2.4</v>
          </cell>
        </row>
        <row r="12">
          <cell r="GD12" t="str">
            <v>EDI (Electronic Data Interchange)</v>
          </cell>
          <cell r="GE12" t="str">
            <v>Aspose Total 1.0</v>
          </cell>
        </row>
        <row r="13">
          <cell r="GD13" t="str">
            <v>Integration-as-a-Service</v>
          </cell>
          <cell r="GE13" t="str">
            <v>Bootstrap</v>
          </cell>
        </row>
        <row r="14">
          <cell r="GD14" t="str">
            <v>No Integration / Standalone</v>
          </cell>
          <cell r="GE14" t="str">
            <v>Citrix XenApp 6.5</v>
          </cell>
        </row>
        <row r="15">
          <cell r="GD15" t="str">
            <v>Not Applicable</v>
          </cell>
          <cell r="GE15" t="str">
            <v>Citrix XenApp Terminal Services</v>
          </cell>
        </row>
        <row r="16">
          <cell r="GE16" t="str">
            <v>Citrix XenMobile 10.x</v>
          </cell>
        </row>
        <row r="17">
          <cell r="GE17" t="str">
            <v>Cordova 1.0</v>
          </cell>
        </row>
        <row r="18">
          <cell r="GE18" t="str">
            <v>Eclipse</v>
          </cell>
        </row>
        <row r="19">
          <cell r="GE19" t="str">
            <v>IBM Rational Application Developer</v>
          </cell>
        </row>
        <row r="20">
          <cell r="GE20" t="str">
            <v>Java Runtime 6</v>
          </cell>
        </row>
        <row r="21">
          <cell r="GE21" t="str">
            <v>JBoss 5.1</v>
          </cell>
        </row>
        <row r="22">
          <cell r="GE22" t="str">
            <v>Kendo UI</v>
          </cell>
        </row>
        <row r="23">
          <cell r="GE23" t="str">
            <v>Microsoft .NET Framework</v>
          </cell>
        </row>
        <row r="24">
          <cell r="GE24" t="str">
            <v>Microsoft .NET Framework 2.0</v>
          </cell>
        </row>
        <row r="25">
          <cell r="GE25" t="str">
            <v>Microsoft .NET Framework 3.5</v>
          </cell>
        </row>
        <row r="26">
          <cell r="GE26" t="str">
            <v>Microsoft .NET Framework 4.0</v>
          </cell>
        </row>
        <row r="27">
          <cell r="GE27" t="str">
            <v>Microsoft .NET Framework 4.5</v>
          </cell>
        </row>
        <row r="28">
          <cell r="GE28" t="str">
            <v>Microsoft .NET Framework 4.5.1</v>
          </cell>
        </row>
        <row r="29">
          <cell r="GE29" t="str">
            <v>Microsoft .NET Framework 4.5.2</v>
          </cell>
        </row>
        <row r="30">
          <cell r="GE30" t="str">
            <v>Microsoft Active Directory Domain Services 1.0</v>
          </cell>
        </row>
        <row r="31">
          <cell r="GE31" t="str">
            <v>Microsoft Active Directory Federation Services 2012 R2</v>
          </cell>
        </row>
        <row r="32">
          <cell r="GE32" t="str">
            <v>Microsoft .Net Framework client-side 4</v>
          </cell>
        </row>
        <row r="33">
          <cell r="GE33" t="str">
            <v>Microsoft .Net Framework CSOM (Client Side Object Model)</v>
          </cell>
        </row>
        <row r="34">
          <cell r="GE34" t="str">
            <v>Microsoft Internet Explorer 11</v>
          </cell>
        </row>
        <row r="35">
          <cell r="GE35" t="str">
            <v>Microsoft Sharepoint Designer</v>
          </cell>
        </row>
        <row r="36">
          <cell r="GE36" t="str">
            <v>Microsoft Team Foundation Server</v>
          </cell>
        </row>
        <row r="37">
          <cell r="GE37" t="str">
            <v>Microsoft Visual Studio</v>
          </cell>
        </row>
        <row r="38">
          <cell r="GE38" t="str">
            <v>Microsoft Visual Studio 2005</v>
          </cell>
        </row>
        <row r="39">
          <cell r="GE39" t="str">
            <v>Microsoft Visual Studio 2010</v>
          </cell>
        </row>
        <row r="40">
          <cell r="GE40" t="str">
            <v>Microsoft Visual Studio 2013</v>
          </cell>
        </row>
        <row r="41">
          <cell r="GE41" t="str">
            <v>Model View ViewModel (MVVM)</v>
          </cell>
        </row>
        <row r="42">
          <cell r="GE42" t="str">
            <v>Netweaver Single-Sign-On 2.0</v>
          </cell>
        </row>
        <row r="43">
          <cell r="GE43" t="str">
            <v>Network File Store</v>
          </cell>
        </row>
        <row r="44">
          <cell r="GE44" t="str">
            <v>Nhibernate</v>
          </cell>
        </row>
        <row r="45">
          <cell r="GE45" t="str">
            <v>Hibernate</v>
          </cell>
        </row>
        <row r="46">
          <cell r="GE46" t="str">
            <v>Not Available</v>
          </cell>
        </row>
        <row r="47">
          <cell r="GE47" t="str">
            <v>Oracle APEX</v>
          </cell>
        </row>
        <row r="48">
          <cell r="GE48" t="str">
            <v>Oracle PL/SQL Developer</v>
          </cell>
        </row>
        <row r="49">
          <cell r="GE49" t="str">
            <v>PeopleSoft Application Designer</v>
          </cell>
        </row>
        <row r="50">
          <cell r="GE50" t="str">
            <v>Privilege Elevation Tool 2</v>
          </cell>
        </row>
        <row r="51">
          <cell r="GE51" t="str">
            <v>SAP PowerBuilder</v>
          </cell>
        </row>
        <row r="52">
          <cell r="GE52" t="str">
            <v>Text Editor</v>
          </cell>
        </row>
        <row r="54">
          <cell r="GE54" t="str">
            <v>Vmware vSphere ESXi 5.5</v>
          </cell>
        </row>
        <row r="56">
          <cell r="GE56" t="str">
            <v>Unknown</v>
          </cell>
        </row>
        <row r="57">
          <cell r="GE57" t="str">
            <v>Microsoft Visual Studio 2013 Ultimate</v>
          </cell>
        </row>
        <row r="58">
          <cell r="GE58" t="str">
            <v>Microsoft Visual Studio 2008 Pro</v>
          </cell>
        </row>
        <row r="59">
          <cell r="GE59" t="str">
            <v>ASP.NET MVC 4</v>
          </cell>
        </row>
        <row r="60">
          <cell r="GE60" t="str">
            <v>Not Applicable</v>
          </cell>
        </row>
      </sheetData>
      <sheetData sheetId="6">
        <row r="2">
          <cell r="GB2" t="str">
            <v>Alfabet Suite 10.1</v>
          </cell>
          <cell r="GC2" t="str">
            <v>Entity Framework 6.0</v>
          </cell>
          <cell r="GD2" t="str">
            <v>CISCO UCS B200 M4 Server</v>
          </cell>
          <cell r="GE2" t="str">
            <v>Red Hat Enterprise Linux 5</v>
          </cell>
          <cell r="GF2" t="str">
            <v>Assembly Language</v>
          </cell>
        </row>
        <row r="3">
          <cell r="GB3" t="str">
            <v>Apache Tomcat</v>
          </cell>
          <cell r="GC3" t="str">
            <v>Microsoft SQL Server</v>
          </cell>
          <cell r="GD3" t="str">
            <v>Cloud Hosted</v>
          </cell>
          <cell r="GE3" t="str">
            <v>Red Hat Enterprise Linux 5.11</v>
          </cell>
          <cell r="GF3" t="str">
            <v>Bootstrap</v>
          </cell>
        </row>
        <row r="4">
          <cell r="GB4" t="str">
            <v>Apache Tomcat 6.x</v>
          </cell>
          <cell r="GC4" t="str">
            <v>Microsoft SQL Server 2008</v>
          </cell>
          <cell r="GD4" t="str">
            <v>Dell Desktop</v>
          </cell>
          <cell r="GE4" t="str">
            <v>Red Hat Enterprise Linux 6.x</v>
          </cell>
          <cell r="GF4" t="str">
            <v>C</v>
          </cell>
        </row>
        <row r="5">
          <cell r="GB5" t="str">
            <v>Apache Tomcat 7.x</v>
          </cell>
          <cell r="GC5" t="str">
            <v>Microsoft SQL Server 2010</v>
          </cell>
          <cell r="GD5" t="str">
            <v>Dell PowerEdge 2950 Server</v>
          </cell>
          <cell r="GE5" t="str">
            <v>Red Hat Enterprise Linux 7.x</v>
          </cell>
          <cell r="GF5" t="str">
            <v>C++</v>
          </cell>
        </row>
        <row r="6">
          <cell r="GB6" t="str">
            <v>Apache Tomcat 8.x</v>
          </cell>
          <cell r="GC6" t="str">
            <v>Microsoft SQL Server 2012</v>
          </cell>
          <cell r="GD6" t="str">
            <v>Dell PowerEdge M610 Blade Server</v>
          </cell>
          <cell r="GE6" t="str">
            <v>Windows 10</v>
          </cell>
          <cell r="GF6" t="str">
            <v>Cobol</v>
          </cell>
        </row>
        <row r="7">
          <cell r="GB7" t="str">
            <v>Apache Web Server</v>
          </cell>
          <cell r="GC7" t="str">
            <v>Microsoft SQL Server 2012 EE</v>
          </cell>
          <cell r="GD7" t="str">
            <v>Dell PowerEdge M620 Blade Server</v>
          </cell>
          <cell r="GE7" t="str">
            <v>Windows 7</v>
          </cell>
          <cell r="GF7" t="str">
            <v>ColdFusion</v>
          </cell>
        </row>
        <row r="8">
          <cell r="GB8" t="str">
            <v>Apache Web Server 2.0</v>
          </cell>
          <cell r="GC8" t="str">
            <v>Microsoft SQL Server 2012 R2</v>
          </cell>
          <cell r="GD8" t="str">
            <v>Dell PowerEdge M630 Blade Server</v>
          </cell>
          <cell r="GE8" t="str">
            <v>Windows 8</v>
          </cell>
          <cell r="GF8" t="str">
            <v>CSS</v>
          </cell>
        </row>
        <row r="9">
          <cell r="GB9" t="str">
            <v>Apache Web Server 2.2</v>
          </cell>
          <cell r="GC9" t="str">
            <v>Microsoft SQL Server 2012 R2 Std</v>
          </cell>
          <cell r="GD9" t="str">
            <v>Dell PowerEdge M710 Blade Server</v>
          </cell>
          <cell r="GE9" t="str">
            <v>Microsoft Windows Server 2003</v>
          </cell>
          <cell r="GF9" t="str">
            <v>Delphi</v>
          </cell>
        </row>
        <row r="10">
          <cell r="GB10" t="str">
            <v>Apache Web Server 2.4</v>
          </cell>
          <cell r="GC10" t="str">
            <v>Microsoft SQL Server 2014</v>
          </cell>
          <cell r="GD10" t="str">
            <v>Dell PowerEdge M820 Blade Server</v>
          </cell>
          <cell r="GE10" t="str">
            <v>Microsoft Windows Server 2003 Enterprise Edition</v>
          </cell>
          <cell r="GF10" t="str">
            <v>HTML</v>
          </cell>
        </row>
        <row r="11">
          <cell r="GB11" t="str">
            <v>Aris Publisher 9.8</v>
          </cell>
          <cell r="GC11" t="str">
            <v>Microsoft SQL Server 2015</v>
          </cell>
          <cell r="GD11" t="str">
            <v>Dell PowerEdge R710 Rack Server</v>
          </cell>
          <cell r="GE11" t="str">
            <v>Windows Server 2008</v>
          </cell>
          <cell r="GF11" t="str">
            <v>HTML 5</v>
          </cell>
        </row>
        <row r="12">
          <cell r="GB12" t="str">
            <v>ASP.NET</v>
          </cell>
          <cell r="GC12" t="str">
            <v>Microsoft SQL Server EE/SE 2008</v>
          </cell>
          <cell r="GD12" t="str">
            <v>Dell PowerEdge R800 Rack Server</v>
          </cell>
          <cell r="GE12" t="str">
            <v>Windows Server 2008 R2</v>
          </cell>
          <cell r="GF12" t="str">
            <v>Java 1.8</v>
          </cell>
        </row>
        <row r="13">
          <cell r="GB13" t="str">
            <v>ASP.NET 2.0</v>
          </cell>
          <cell r="GC13" t="str">
            <v>Microsoft SQL Server EE/SE 2008 R2 6.1</v>
          </cell>
          <cell r="GD13" t="str">
            <v>HP 3000</v>
          </cell>
          <cell r="GE13" t="str">
            <v>Windows Server 2008 R2 6.1</v>
          </cell>
          <cell r="GF13" t="str">
            <v>Java 2</v>
          </cell>
        </row>
        <row r="14">
          <cell r="GB14" t="str">
            <v>ASP.NET 3.0</v>
          </cell>
          <cell r="GC14" t="str">
            <v>Microsoft SQL Server EE/SE 2012</v>
          </cell>
          <cell r="GD14" t="str">
            <v>Iaas</v>
          </cell>
          <cell r="GE14" t="str">
            <v>Windows Server 2008 R2 EE</v>
          </cell>
          <cell r="GF14" t="str">
            <v>JavaScript</v>
          </cell>
        </row>
        <row r="15">
          <cell r="GB15" t="str">
            <v>ASP.NET 3.5</v>
          </cell>
          <cell r="GC15" t="str">
            <v>Microsoft SQL Server EE/SE 2014</v>
          </cell>
          <cell r="GD15" t="str">
            <v>Not Available</v>
          </cell>
          <cell r="GE15" t="str">
            <v>Windows Server 2008 R2 EE 64-Bit</v>
          </cell>
          <cell r="GF15" t="str">
            <v>jQuery</v>
          </cell>
        </row>
        <row r="16">
          <cell r="GB16" t="str">
            <v>Citrix XenApp 6.5</v>
          </cell>
          <cell r="GC16" t="str">
            <v>Microsoft SQL Server EE/SE 2016</v>
          </cell>
          <cell r="GD16" t="str">
            <v>Paas</v>
          </cell>
          <cell r="GE16" t="str">
            <v>Windows Server 2008 R2 Standard</v>
          </cell>
          <cell r="GF16" t="str">
            <v>Lotus Script</v>
          </cell>
        </row>
        <row r="17">
          <cell r="GB17" t="str">
            <v>Citrix XenApp Terminal Services</v>
          </cell>
          <cell r="GC17" t="str">
            <v>Microsoft SQL Server Integration Services</v>
          </cell>
          <cell r="GD17" t="str">
            <v>Vendor Hosted</v>
          </cell>
          <cell r="GE17" t="str">
            <v>Windows Server 2012</v>
          </cell>
          <cell r="GF17" t="str">
            <v>Microsoft Visual Basic</v>
          </cell>
        </row>
        <row r="18">
          <cell r="GB18" t="str">
            <v>COM/DCOM</v>
          </cell>
          <cell r="GC18" t="str">
            <v>Microsoft SQL Server Integration Services 2012</v>
          </cell>
          <cell r="GD18" t="str">
            <v>Virtual Machine</v>
          </cell>
          <cell r="GE18" t="str">
            <v>Windows Server 2012 R2</v>
          </cell>
          <cell r="GF18" t="str">
            <v>Microsoft Visual Basic .NET</v>
          </cell>
        </row>
        <row r="19">
          <cell r="GB19" t="str">
            <v>Confirmit Horizons 19</v>
          </cell>
          <cell r="GC19" t="str">
            <v>Microsoft SQL Server Integration Services 2014</v>
          </cell>
          <cell r="GD19" t="str">
            <v>Virtual Machine 2CPU</v>
          </cell>
          <cell r="GE19" t="str">
            <v>Windows Server 2012 R2 6.3</v>
          </cell>
          <cell r="GF19" t="str">
            <v>Microsoft Visual C</v>
          </cell>
        </row>
        <row r="20">
          <cell r="GB20" t="str">
            <v>Domino / Lotus Notes 9.0.1</v>
          </cell>
          <cell r="GC20" t="str">
            <v>Microsoft SQL Server Integration Services 2016</v>
          </cell>
          <cell r="GD20" t="str">
            <v>Virtual Machine 4CPU</v>
          </cell>
          <cell r="GE20" t="str">
            <v>Windows Server 2012 R2 Data center Edition</v>
          </cell>
          <cell r="GF20" t="str">
            <v>Microsoft Visual Basic 2008</v>
          </cell>
        </row>
        <row r="21">
          <cell r="GB21" t="str">
            <v>EMC Documentum Administrator Application 7.3</v>
          </cell>
          <cell r="GC21" t="str">
            <v>Microsoft SQL server Management studio</v>
          </cell>
          <cell r="GD21" t="str">
            <v>Virtual Machine 8Core</v>
          </cell>
          <cell r="GE21" t="str">
            <v>Windows Server 2012 R2 Standard</v>
          </cell>
          <cell r="GF21" t="str">
            <v>Microsoft Visual Basic 6.0</v>
          </cell>
        </row>
        <row r="22">
          <cell r="GB22" t="str">
            <v>EMC Documentum Content Server 7.1</v>
          </cell>
          <cell r="GC22" t="str">
            <v>Microsoft SQL Server Management Studio 2012</v>
          </cell>
          <cell r="GD22" t="str">
            <v>Virtual Machine VMware</v>
          </cell>
          <cell r="GE22" t="str">
            <v>Windows Server 2012 R2 Std</v>
          </cell>
          <cell r="GF22" t="str">
            <v>Microsoft Visual Basic Macro</v>
          </cell>
        </row>
        <row r="23">
          <cell r="GB23" t="str">
            <v>EMC Documentum Document Transformation Server 7.3</v>
          </cell>
          <cell r="GC23" t="str">
            <v>Microsoft SQL Server Reporting Services 2014</v>
          </cell>
          <cell r="GD23" t="str">
            <v>Virtual Machine vSphere ESXi 5.5</v>
          </cell>
          <cell r="GE23" t="str">
            <v>Windows Server 2012 R2 Std SP2</v>
          </cell>
          <cell r="GF23" t="str">
            <v>Not Available</v>
          </cell>
        </row>
        <row r="24">
          <cell r="GB24" t="str">
            <v>EMC Documentum Records Manager 6.7</v>
          </cell>
          <cell r="GC24" t="str">
            <v>Microsoft SQL Server Reporting Services 2016</v>
          </cell>
          <cell r="GD24" t="str">
            <v>Virtual Machine XenApp 6.5</v>
          </cell>
          <cell r="GE24" t="str">
            <v>Windows XP</v>
          </cell>
          <cell r="GF24" t="str">
            <v>Perl</v>
          </cell>
        </row>
        <row r="25">
          <cell r="GB25" t="str">
            <v>EMC Documentum Webtop 6.8.5</v>
          </cell>
          <cell r="GC25" t="str">
            <v>Not Applicable</v>
          </cell>
          <cell r="GD25" t="str">
            <v>Dell</v>
          </cell>
          <cell r="GE25" t="str">
            <v>Unknown</v>
          </cell>
          <cell r="GF25" t="str">
            <v>PowerBuilder</v>
          </cell>
        </row>
        <row r="26">
          <cell r="GB26" t="str">
            <v>EMC Documentum WebTop Application 6.8.2</v>
          </cell>
          <cell r="GC26" t="str">
            <v>Not Available</v>
          </cell>
          <cell r="GD26" t="str">
            <v>Dell Server</v>
          </cell>
          <cell r="GE26" t="str">
            <v>Not Available</v>
          </cell>
          <cell r="GF26" t="str">
            <v>Python</v>
          </cell>
        </row>
        <row r="27">
          <cell r="GB27" t="str">
            <v>EMC Documentum Xplore</v>
          </cell>
          <cell r="GC27" t="str">
            <v>Oracle Database</v>
          </cell>
          <cell r="GD27" t="str">
            <v>Hitachi Blade Server</v>
          </cell>
          <cell r="GE27" t="str">
            <v>Windows</v>
          </cell>
          <cell r="GF27" t="str">
            <v>Rexx</v>
          </cell>
        </row>
        <row r="28">
          <cell r="GB28" t="str">
            <v>EMC Documentum Xplore 1.5</v>
          </cell>
          <cell r="GC28" t="str">
            <v>Oracle Database 10g R2</v>
          </cell>
          <cell r="GD28" t="str">
            <v>HP</v>
          </cell>
          <cell r="GE28" t="str">
            <v>Vendor Proprietary Operating System</v>
          </cell>
          <cell r="GF28" t="str">
            <v>Ruby</v>
          </cell>
        </row>
        <row r="29">
          <cell r="GB29" t="str">
            <v>EMC Documentum xPlore 1.6</v>
          </cell>
          <cell r="GC29" t="str">
            <v>Oracle Database 11g R1</v>
          </cell>
          <cell r="GD29" t="str">
            <v>IBM</v>
          </cell>
          <cell r="GE29" t="str">
            <v>Linux</v>
          </cell>
          <cell r="GF29" t="str">
            <v>Shell</v>
          </cell>
        </row>
        <row r="30">
          <cell r="GB30" t="str">
            <v>HP Enterprise Content Manager</v>
          </cell>
          <cell r="GC30" t="str">
            <v>Oracle Database 11g R2</v>
          </cell>
          <cell r="GD30" t="str">
            <v>Not Applicable</v>
          </cell>
          <cell r="GE30" t="str">
            <v>Windows Server</v>
          </cell>
          <cell r="GF30" t="str">
            <v>Shell Script</v>
          </cell>
        </row>
        <row r="31">
          <cell r="GB31" t="str">
            <v>HP Enterprise Content Manager 9</v>
          </cell>
          <cell r="GC31" t="str">
            <v>Oracle Database 12</v>
          </cell>
          <cell r="GD31" t="str">
            <v>Sun</v>
          </cell>
          <cell r="GE31" t="str">
            <v>Not Applicable</v>
          </cell>
          <cell r="GF31" t="str">
            <v>C#</v>
          </cell>
        </row>
        <row r="32">
          <cell r="GB32" t="str">
            <v>IBM Business Process Manager 8.5.6</v>
          </cell>
          <cell r="GC32" t="str">
            <v>Oracle Database 12c</v>
          </cell>
          <cell r="GD32" t="str">
            <v>Lenovo</v>
          </cell>
          <cell r="GE32" t="str">
            <v>Red Hat Enterprise Linux 6</v>
          </cell>
          <cell r="GF32" t="str">
            <v>SQL</v>
          </cell>
        </row>
        <row r="33">
          <cell r="GB33" t="str">
            <v>IBM Domino Designer</v>
          </cell>
          <cell r="GC33" t="str">
            <v>Oracle Database Appliance 12c</v>
          </cell>
          <cell r="GD33" t="str">
            <v>Dell 2.4</v>
          </cell>
          <cell r="GE33" t="str">
            <v>REDHAT LINUX V5 SERVER</v>
          </cell>
          <cell r="GF33" t="str">
            <v>Tcl</v>
          </cell>
        </row>
        <row r="34">
          <cell r="GB34" t="str">
            <v>IBM Lotus Notes</v>
          </cell>
          <cell r="GC34" t="str">
            <v>Oracle Essbase 11.1.1.x</v>
          </cell>
          <cell r="GD34" t="str">
            <v>HP 9000/800/N4000-55</v>
          </cell>
          <cell r="GE34" t="str">
            <v>REDHAT LINUX V6 SERVER</v>
          </cell>
          <cell r="GF34" t="str">
            <v>C# 3.0</v>
          </cell>
        </row>
        <row r="35">
          <cell r="GB35" t="str">
            <v>IBM Websphere</v>
          </cell>
          <cell r="GC35" t="str">
            <v>Oracle Essbase 11.1.2.x</v>
          </cell>
          <cell r="GD35" t="str">
            <v>HP 9K</v>
          </cell>
          <cell r="GE35" t="str">
            <v>REDHAT LINUX V7 SERVER</v>
          </cell>
          <cell r="GF35" t="str">
            <v>T-SQL</v>
          </cell>
        </row>
        <row r="36">
          <cell r="GB36" t="str">
            <v>IBM Websphere 8.5</v>
          </cell>
          <cell r="GC36" t="str">
            <v>Oracle Forms</v>
          </cell>
          <cell r="GD36" t="str">
            <v>HP Blade (SAN) 4532</v>
          </cell>
          <cell r="GE36" t="str">
            <v>MICROSOFT 2012 6.2.9200 STANDARD SERVER EDITION</v>
          </cell>
          <cell r="GF36" t="str">
            <v>C# 3.5</v>
          </cell>
        </row>
        <row r="37">
          <cell r="GB37" t="str">
            <v>Internet Information Services (IIS)</v>
          </cell>
          <cell r="GC37" t="str">
            <v>Oracle mySQL</v>
          </cell>
          <cell r="GD37" t="str">
            <v>HP Blade 9000</v>
          </cell>
          <cell r="GE37" t="str">
            <v>MICROSOFT 2008 R2 6.1.7601</v>
          </cell>
          <cell r="GF37" t="str">
            <v>Unknown</v>
          </cell>
        </row>
        <row r="38">
          <cell r="GB38" t="str">
            <v>Internet Information Services (IIS)7.5</v>
          </cell>
          <cell r="GC38" t="str">
            <v>Oracle mySQL 4</v>
          </cell>
          <cell r="GD38" t="str">
            <v>HP Blade BL 460c</v>
          </cell>
          <cell r="GE38" t="str">
            <v>MICROSOFT 2008 R2 6.1.7601 ENTERPRISE EDITION</v>
          </cell>
          <cell r="GF38" t="str">
            <v>C# 4.5</v>
          </cell>
        </row>
        <row r="39">
          <cell r="GB39" t="str">
            <v>Microsoft .NET Webservices</v>
          </cell>
          <cell r="GC39" t="str">
            <v>Oracle mySQL 5.5.x</v>
          </cell>
          <cell r="GD39" t="str">
            <v>HP DL 385G5</v>
          </cell>
          <cell r="GF39" t="str">
            <v>ABAP</v>
          </cell>
        </row>
        <row r="40">
          <cell r="GB40" t="str">
            <v>Microsoft .NET Webservices 2.0</v>
          </cell>
          <cell r="GC40" t="str">
            <v>Oracle mySQL 5.6.x</v>
          </cell>
          <cell r="GD40" t="str">
            <v>HP G-09</v>
          </cell>
          <cell r="GF40" t="str">
            <v>Not Applicable</v>
          </cell>
        </row>
        <row r="41">
          <cell r="GB41" t="str">
            <v>Microsoft .NET Webservices 3.5</v>
          </cell>
          <cell r="GC41" t="str">
            <v>Oracle PL/SQL</v>
          </cell>
          <cell r="GD41" t="str">
            <v>HP MPEix 6.5</v>
          </cell>
          <cell r="GF41" t="str">
            <v>Application API</v>
          </cell>
        </row>
        <row r="42">
          <cell r="GB42" t="str">
            <v>Microsoft .NET Webservices 4.5</v>
          </cell>
          <cell r="GC42" t="str">
            <v>Oracle PL/SQL 10</v>
          </cell>
          <cell r="GD42" t="str">
            <v>HP Proliant G4</v>
          </cell>
          <cell r="GF42" t="str">
            <v>.NET 3.5</v>
          </cell>
        </row>
        <row r="43">
          <cell r="GB43" t="str">
            <v>Microsoft .NET Webservices 4.6.2</v>
          </cell>
          <cell r="GC43" t="str">
            <v>Oracle Provider for OLE DB</v>
          </cell>
          <cell r="GD43" t="str">
            <v>HP Risc/Itanium S5</v>
          </cell>
          <cell r="GF43" t="str">
            <v>Java 1.5</v>
          </cell>
        </row>
        <row r="44">
          <cell r="GB44" t="str">
            <v>Microsoft Access 2010</v>
          </cell>
          <cell r="GC44" t="str">
            <v>Oracle Real Application Cluster (RAC) 11gR2</v>
          </cell>
          <cell r="GD44" t="str">
            <v>HP Unix 11 I</v>
          </cell>
          <cell r="GF44" t="str">
            <v>Java 1.6</v>
          </cell>
        </row>
        <row r="45">
          <cell r="GB45" t="str">
            <v>Microsoft Dynamics</v>
          </cell>
          <cell r="GC45" t="str">
            <v>PostgreSQL 9.x</v>
          </cell>
          <cell r="GD45" t="str">
            <v>HP wintel R07</v>
          </cell>
          <cell r="GF45" t="str">
            <v>Java 1.7</v>
          </cell>
        </row>
        <row r="46">
          <cell r="GB46" t="str">
            <v>Microsoft Excel</v>
          </cell>
          <cell r="GC46" t="str">
            <v>PostgreSQL 10</v>
          </cell>
          <cell r="GD46" t="str">
            <v>HP3K H032</v>
          </cell>
          <cell r="GF46" t="str">
            <v>Java SE 10</v>
          </cell>
        </row>
        <row r="47">
          <cell r="GB47" t="str">
            <v>Microsoft Internet Information Server</v>
          </cell>
          <cell r="GC47" t="str">
            <v>Unknown</v>
          </cell>
          <cell r="GD47" t="str">
            <v>HP-UX 11.23i</v>
          </cell>
          <cell r="GF47" t="str">
            <v>Java SE 11</v>
          </cell>
        </row>
        <row r="48">
          <cell r="GB48" t="str">
            <v>Microsoft Internet Information Server 10</v>
          </cell>
          <cell r="GC48" t="str">
            <v>EMC VNX5700 Data Mover</v>
          </cell>
          <cell r="GD48" t="str">
            <v>HP-UX 11i</v>
          </cell>
          <cell r="GF48" t="str">
            <v>Java SE 12</v>
          </cell>
        </row>
        <row r="49">
          <cell r="GB49" t="str">
            <v>Microsoft Internet Information Server 7</v>
          </cell>
          <cell r="GC49" t="str">
            <v>Microsoft SQL Server Reporting Services</v>
          </cell>
          <cell r="GD49" t="str">
            <v>HP-UX 11iv1</v>
          </cell>
          <cell r="GF49" t="str">
            <v>Java SE 13</v>
          </cell>
        </row>
        <row r="50">
          <cell r="GB50" t="str">
            <v>Microsoft Internet Information Server 7.5</v>
          </cell>
          <cell r="GC50" t="str">
            <v>MS SQL 2008+</v>
          </cell>
          <cell r="GD50" t="str">
            <v>HP-UX B.11</v>
          </cell>
          <cell r="GF50" t="str">
            <v>Java SE 14</v>
          </cell>
        </row>
        <row r="51">
          <cell r="GB51" t="str">
            <v>Microsoft Internet Information Server 8</v>
          </cell>
          <cell r="GC51" t="str">
            <v>Oracle Database 10</v>
          </cell>
          <cell r="GD51" t="str">
            <v>HP-UX B.11.11</v>
          </cell>
          <cell r="GF51" t="str">
            <v>Java SE 9</v>
          </cell>
        </row>
        <row r="52">
          <cell r="GB52" t="str">
            <v>Microsoft Internet Information Server 8.5</v>
          </cell>
          <cell r="GC52" t="str">
            <v>Oracle Database 11</v>
          </cell>
          <cell r="GD52" t="str">
            <v>HP-UX B.11.11 U</v>
          </cell>
          <cell r="GF52" t="str">
            <v>Microsoft Visual Basic .NET 4.5</v>
          </cell>
        </row>
        <row r="54">
          <cell r="GB54" t="str">
            <v>Microsoft Office 2010</v>
          </cell>
          <cell r="GC54" t="str">
            <v>Oracle Database 18C</v>
          </cell>
          <cell r="GD54" t="str">
            <v>HP-UX eux110 B.11.11 U 800</v>
          </cell>
          <cell r="GF54" t="str">
            <v>Python 2.7</v>
          </cell>
        </row>
        <row r="56">
          <cell r="GB56" t="str">
            <v>Microsoft Office 2013</v>
          </cell>
          <cell r="GC56" t="str">
            <v>Oracle Database version - 10.2.0.5.0</v>
          </cell>
          <cell r="GD56" t="str">
            <v>HP-UX eux110 B.11.11 U 9000</v>
          </cell>
          <cell r="GF56" t="str">
            <v>Python 3.2.2</v>
          </cell>
        </row>
        <row r="57">
          <cell r="GB57" t="str">
            <v>Microsoft Sharepoint</v>
          </cell>
          <cell r="GC57" t="str">
            <v>Oracle Database Version - 12.1.0.2.0</v>
          </cell>
          <cell r="GD57" t="str">
            <v>IBM 3850 series 4123 S6</v>
          </cell>
          <cell r="GF57" t="str">
            <v>Shell Script in Pascal</v>
          </cell>
        </row>
        <row r="58">
          <cell r="GB58" t="str">
            <v>Microsoft Sharepoint 2010</v>
          </cell>
          <cell r="GC58" t="str">
            <v>Oracle Database Version - 18.0.0.0.0</v>
          </cell>
          <cell r="GD58" t="str">
            <v>IBM AIX N25</v>
          </cell>
          <cell r="GF58" t="str">
            <v>Unix scripts - conda</v>
          </cell>
        </row>
        <row r="59">
          <cell r="GB59" t="str">
            <v>Microsoft Sharepoint 2013</v>
          </cell>
          <cell r="GD59" t="str">
            <v>IBM G32</v>
          </cell>
          <cell r="GF59" t="str">
            <v>Unix scripts - perl</v>
          </cell>
        </row>
        <row r="60">
          <cell r="GB60" t="str">
            <v>Microsoft Sharepoint 2016</v>
          </cell>
          <cell r="GD60" t="str">
            <v>IBM Risc W23</v>
          </cell>
          <cell r="GF60" t="str">
            <v>VB 10.0</v>
          </cell>
        </row>
        <row r="61">
          <cell r="GB61" t="str">
            <v>Microsoft Sharepoint Client Side Object Model (CSOM)</v>
          </cell>
          <cell r="GD61" t="str">
            <v>IBM x Series 3550 M2</v>
          </cell>
          <cell r="GF61" t="str">
            <v>VB 11.0</v>
          </cell>
        </row>
        <row r="62">
          <cell r="GB62" t="str">
            <v>NetWeaver Application Server ABAP v.7.4</v>
          </cell>
          <cell r="GD62" t="str">
            <v>IBM X Series X05</v>
          </cell>
          <cell r="GF62" t="str">
            <v>VB 12.0</v>
          </cell>
        </row>
        <row r="63">
          <cell r="GB63" t="str">
            <v>NetWeaver Application Server JAVA v.7.4</v>
          </cell>
          <cell r="GD63" t="str">
            <v>IBM x346 3.9</v>
          </cell>
          <cell r="GF63" t="str">
            <v>VB 14.0</v>
          </cell>
        </row>
        <row r="64">
          <cell r="GB64" t="str">
            <v>Not Applicable</v>
          </cell>
          <cell r="GD64" t="str">
            <v>IBM x3650 2.0</v>
          </cell>
          <cell r="GF64" t="str">
            <v>VB 15.x</v>
          </cell>
        </row>
        <row r="65">
          <cell r="GB65" t="str">
            <v>Not Available</v>
          </cell>
          <cell r="GD65" t="str">
            <v>IBM X3850 M2</v>
          </cell>
          <cell r="GF65" t="str">
            <v>VB 16.0</v>
          </cell>
        </row>
        <row r="66">
          <cell r="GB66" t="str">
            <v>OneDesk (v Win7)</v>
          </cell>
          <cell r="GD66" t="str">
            <v>IBM x3950 M2</v>
          </cell>
          <cell r="GF66" t="str">
            <v>VB 6.0</v>
          </cell>
        </row>
        <row r="67">
          <cell r="GB67" t="str">
            <v>OpenText Content Server</v>
          </cell>
          <cell r="GD67" t="str">
            <v>Windows Server 2003</v>
          </cell>
          <cell r="GF67" t="str">
            <v>VB 9.0</v>
          </cell>
        </row>
        <row r="68">
          <cell r="GB68" t="str">
            <v>Opentext Edocs</v>
          </cell>
          <cell r="GD68" t="str">
            <v>Windows Server 2005</v>
          </cell>
        </row>
        <row r="69">
          <cell r="GB69" t="str">
            <v>Oracle Taleo 12B.10</v>
          </cell>
          <cell r="GD69" t="str">
            <v>Windows Server 2008</v>
          </cell>
        </row>
        <row r="70">
          <cell r="GB70" t="str">
            <v>Oracle Taleo 12C.5</v>
          </cell>
          <cell r="GD70" t="str">
            <v>Windows Server 2008 R2</v>
          </cell>
        </row>
        <row r="71">
          <cell r="GB71" t="str">
            <v>Oracle Tuxedo Web Server 10.3</v>
          </cell>
          <cell r="GD71" t="str">
            <v>Windows Server 2012</v>
          </cell>
        </row>
        <row r="72">
          <cell r="GB72" t="str">
            <v>Oracle WebLogic</v>
          </cell>
          <cell r="GD72" t="str">
            <v>Windows Server 2012 R2</v>
          </cell>
        </row>
        <row r="73">
          <cell r="GB73" t="str">
            <v>PeopleSoft</v>
          </cell>
          <cell r="GD73" t="str">
            <v>Windows Server 2016</v>
          </cell>
        </row>
        <row r="74">
          <cell r="GB74" t="str">
            <v>PeopleSoft 8</v>
          </cell>
          <cell r="GD74" t="str">
            <v>Windows Server 2019</v>
          </cell>
        </row>
        <row r="75">
          <cell r="GB75" t="str">
            <v>PeopleSoft 8.8</v>
          </cell>
        </row>
        <row r="76">
          <cell r="GB76" t="str">
            <v>PeopleSoft 8.9</v>
          </cell>
        </row>
        <row r="77">
          <cell r="GB77" t="str">
            <v>PeopleSoft People Tools</v>
          </cell>
        </row>
        <row r="78">
          <cell r="GB78" t="str">
            <v>PeopleSoft People Tools 8.5.1</v>
          </cell>
        </row>
        <row r="79">
          <cell r="GB79" t="str">
            <v>Profile Picture Synchronization 1.5</v>
          </cell>
        </row>
        <row r="80">
          <cell r="GB80" t="str">
            <v>SAP</v>
          </cell>
        </row>
        <row r="81">
          <cell r="GB81" t="str">
            <v>SAP ARIBA</v>
          </cell>
        </row>
        <row r="82">
          <cell r="GB82" t="str">
            <v>SAP Netweaver</v>
          </cell>
        </row>
        <row r="83">
          <cell r="GB83" t="str">
            <v>Secure FTP</v>
          </cell>
        </row>
        <row r="84">
          <cell r="GB84" t="str">
            <v>Skype for Business Lync Server v.2013</v>
          </cell>
        </row>
        <row r="85">
          <cell r="GB85" t="str">
            <v>Tibco Spotfire</v>
          </cell>
        </row>
        <row r="86">
          <cell r="GB86" t="str">
            <v>Weblogic Application Server 10.6.3</v>
          </cell>
        </row>
        <row r="87">
          <cell r="GB87" t="str">
            <v>WebServices</v>
          </cell>
        </row>
        <row r="88">
          <cell r="GB88" t="str">
            <v>Websphere Portal 8.5</v>
          </cell>
        </row>
        <row r="89">
          <cell r="GB89" t="str">
            <v>Unknown</v>
          </cell>
        </row>
        <row r="90">
          <cell r="GB90" t="str">
            <v>Microsoft Access 2013</v>
          </cell>
        </row>
        <row r="91">
          <cell r="GB91" t="str">
            <v>Microsoft Excel 2013</v>
          </cell>
        </row>
      </sheetData>
      <sheetData sheetId="7">
        <row r="2">
          <cell r="GB2" t="str">
            <v>0</v>
          </cell>
          <cell r="GC2" t="str">
            <v>External</v>
          </cell>
          <cell r="GD2" t="str">
            <v>Remains the same</v>
          </cell>
          <cell r="GE2" t="str">
            <v>1. Unacceptable performance</v>
          </cell>
          <cell r="GF2" t="str">
            <v>No Issue</v>
          </cell>
          <cell r="GG2" t="str">
            <v>Yes</v>
          </cell>
        </row>
        <row r="3">
          <cell r="GB3" t="str">
            <v>1-100</v>
          </cell>
          <cell r="GC3" t="str">
            <v>Internal</v>
          </cell>
          <cell r="GD3" t="str">
            <v>Partially increase</v>
          </cell>
          <cell r="GE3" t="str">
            <v>2. Frequently unresponsive</v>
          </cell>
          <cell r="GF3" t="str">
            <v>1-5 performance or stability issue/3 months</v>
          </cell>
          <cell r="GG3" t="str">
            <v>No</v>
          </cell>
        </row>
        <row r="4">
          <cell r="GB4" t="str">
            <v>101-500</v>
          </cell>
          <cell r="GC4" t="str">
            <v>Both</v>
          </cell>
          <cell r="GD4" t="str">
            <v>Heavily increase</v>
          </cell>
          <cell r="GE4" t="str">
            <v>3. Slow at times</v>
          </cell>
          <cell r="GF4" t="str">
            <v>5-15 performance or stability issues/3 months</v>
          </cell>
          <cell r="GG4" t="str">
            <v>Unknown</v>
          </cell>
        </row>
        <row r="5">
          <cell r="GB5" t="str">
            <v>501-1,000</v>
          </cell>
          <cell r="GC5" t="str">
            <v>Not Available</v>
          </cell>
          <cell r="GD5" t="str">
            <v>Heavily decrease</v>
          </cell>
          <cell r="GE5" t="str">
            <v>5. Excellent response</v>
          </cell>
          <cell r="GF5" t="str">
            <v>&gt; 30 performance or stability issues/3 months</v>
          </cell>
        </row>
        <row r="6">
          <cell r="GB6" t="str">
            <v>1,001-5,000</v>
          </cell>
          <cell r="GD6" t="str">
            <v>Unknown</v>
          </cell>
          <cell r="GE6" t="str">
            <v>Unknown</v>
          </cell>
          <cell r="GF6" t="str">
            <v>Unknown</v>
          </cell>
        </row>
        <row r="7">
          <cell r="GB7" t="str">
            <v>5,000-10,000</v>
          </cell>
          <cell r="GD7" t="str">
            <v>Not Available</v>
          </cell>
          <cell r="GE7" t="str">
            <v>Not Available</v>
          </cell>
          <cell r="GF7" t="str">
            <v>Not Available</v>
          </cell>
        </row>
        <row r="8">
          <cell r="GB8" t="str">
            <v>10,000+</v>
          </cell>
        </row>
        <row r="9">
          <cell r="GB9" t="str">
            <v>Not Applicable</v>
          </cell>
        </row>
        <row r="10">
          <cell r="GB10" t="str">
            <v>Not Available</v>
          </cell>
        </row>
        <row r="11">
          <cell r="GB11" t="str">
            <v>Unknown</v>
          </cell>
        </row>
      </sheetData>
      <sheetData sheetId="8">
        <row r="2">
          <cell r="GB2" t="str">
            <v>0-10</v>
          </cell>
          <cell r="GC2" t="str">
            <v>0-5</v>
          </cell>
          <cell r="GD2" t="str">
            <v>Last 3 months</v>
          </cell>
        </row>
        <row r="3">
          <cell r="GB3" t="str">
            <v>11-50</v>
          </cell>
          <cell r="GC3" t="str">
            <v>6-10</v>
          </cell>
          <cell r="GD3" t="str">
            <v>Last 1 year</v>
          </cell>
        </row>
        <row r="4">
          <cell r="GB4" t="str">
            <v>51-100</v>
          </cell>
          <cell r="GC4" t="str">
            <v>11-30</v>
          </cell>
          <cell r="GD4" t="str">
            <v>Between 1 - 5 years</v>
          </cell>
        </row>
        <row r="5">
          <cell r="GB5" t="str">
            <v>&gt;200</v>
          </cell>
          <cell r="GC5" t="str">
            <v>&gt;50</v>
          </cell>
          <cell r="GD5" t="str">
            <v>Unknown</v>
          </cell>
        </row>
        <row r="6">
          <cell r="GB6" t="str">
            <v>Not Applicable</v>
          </cell>
          <cell r="GC6" t="str">
            <v>Not Applicable</v>
          </cell>
        </row>
        <row r="7">
          <cell r="GB7" t="str">
            <v>Not Available</v>
          </cell>
          <cell r="GC7" t="str">
            <v>Not Available</v>
          </cell>
        </row>
      </sheetData>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lle1"/>
      <sheetName val="APMF_Architecture"/>
      <sheetName val="APMT_Detalle"/>
    </sheetNames>
    <sheetDataSet>
      <sheetData sheetId="0"/>
      <sheetData sheetId="1"/>
      <sheetData sheetId="2">
        <row r="2">
          <cell r="B2" t="str">
            <v>Anura</v>
          </cell>
          <cell r="M2" t="str">
            <v>Anura</v>
          </cell>
          <cell r="S2" t="str">
            <v>NADA</v>
          </cell>
          <cell r="AP2" t="str">
            <v>External</v>
          </cell>
        </row>
        <row r="3">
          <cell r="B3" t="str">
            <v>Datalake - Consola AWS S3</v>
          </cell>
          <cell r="M3" t="str">
            <v>Datalake</v>
          </cell>
          <cell r="S3" t="str">
            <v>Amazon WebServices</v>
          </cell>
          <cell r="AP3" t="str">
            <v>External</v>
          </cell>
        </row>
        <row r="4">
          <cell r="B4" t="str">
            <v>ModuloPlaft</v>
          </cell>
          <cell r="M4" t="str">
            <v>ModuloPlaft</v>
          </cell>
          <cell r="S4" t="str">
            <v>Vector</v>
          </cell>
          <cell r="AP4" t="str">
            <v>Internal Cloud</v>
          </cell>
        </row>
        <row r="5">
          <cell r="B5" t="str">
            <v>Pionner_SCP</v>
          </cell>
          <cell r="M5" t="str">
            <v>Pionner SCP</v>
          </cell>
          <cell r="S5" t="str">
            <v>Consumer Peru</v>
          </cell>
          <cell r="AP5" t="str">
            <v>External</v>
          </cell>
        </row>
        <row r="6">
          <cell r="B6" t="str">
            <v>Equifax</v>
          </cell>
          <cell r="M6" t="str">
            <v>Equifax</v>
          </cell>
          <cell r="S6" t="str">
            <v>Equifax</v>
          </cell>
          <cell r="AP6" t="str">
            <v>External</v>
          </cell>
        </row>
        <row r="7">
          <cell r="B7" t="str">
            <v>Sentinel</v>
          </cell>
          <cell r="M7" t="str">
            <v>Sentinel</v>
          </cell>
          <cell r="S7" t="str">
            <v>Sentinel Peru</v>
          </cell>
          <cell r="AP7" t="str">
            <v>External</v>
          </cell>
        </row>
        <row r="8">
          <cell r="B8" t="str">
            <v>Seguros la Positiva</v>
          </cell>
          <cell r="M8" t="str">
            <v>Seguros La Positiva</v>
          </cell>
          <cell r="S8" t="str">
            <v>INSAQ</v>
          </cell>
          <cell r="AP8" t="str">
            <v>External</v>
          </cell>
        </row>
        <row r="9">
          <cell r="B9" t="str">
            <v>Docuclass</v>
          </cell>
          <cell r="M9" t="str">
            <v>Docuclass</v>
          </cell>
          <cell r="S9" t="str">
            <v>CIMA SOFTWARE</v>
          </cell>
          <cell r="AP9" t="str">
            <v>External</v>
          </cell>
        </row>
        <row r="10">
          <cell r="B10" t="str">
            <v>Murex Latam 3.1</v>
          </cell>
          <cell r="M10" t="str">
            <v>Murex Latam 3.1</v>
          </cell>
          <cell r="S10" t="str">
            <v>Murex</v>
          </cell>
        </row>
        <row r="11">
          <cell r="B11" t="str">
            <v>Directorio Activo</v>
          </cell>
          <cell r="M11" t="str">
            <v>Directorio Activo</v>
          </cell>
          <cell r="S11" t="str">
            <v>MICROSOFT</v>
          </cell>
          <cell r="AP11" t="str">
            <v>Internal Cloud</v>
          </cell>
        </row>
        <row r="12">
          <cell r="B12" t="str">
            <v>Sonarqube_Peru</v>
          </cell>
          <cell r="M12" t="str">
            <v>Sonarqube</v>
          </cell>
          <cell r="S12" t="str">
            <v>SGT</v>
          </cell>
          <cell r="AP12" t="str">
            <v>Internal Cloud</v>
          </cell>
        </row>
        <row r="13">
          <cell r="B13" t="str">
            <v>IOS Super Digital</v>
          </cell>
          <cell r="M13" t="str">
            <v>Mobile Super Digital</v>
          </cell>
          <cell r="S13" t="str">
            <v>Proyectos &amp; Sistemas</v>
          </cell>
          <cell r="AP13" t="str">
            <v>Without Data</v>
          </cell>
        </row>
        <row r="14">
          <cell r="B14" t="str">
            <v>Host to Host - H2H</v>
          </cell>
          <cell r="M14" t="str">
            <v>Host to Host</v>
          </cell>
          <cell r="S14" t="str">
            <v>Softtek</v>
          </cell>
          <cell r="AP14" t="str">
            <v>Public Cloud</v>
          </cell>
        </row>
        <row r="15">
          <cell r="B15" t="str">
            <v>Cash Nexus - Portal</v>
          </cell>
          <cell r="M15" t="str">
            <v>Cash Nexus</v>
          </cell>
          <cell r="S15" t="str">
            <v>Softtek</v>
          </cell>
          <cell r="AP15" t="str">
            <v>Internal Cloud</v>
          </cell>
        </row>
        <row r="16">
          <cell r="B16" t="str">
            <v>Android Super Digital</v>
          </cell>
          <cell r="M16" t="str">
            <v>Mobile Super Digital</v>
          </cell>
          <cell r="S16" t="str">
            <v>Proyectos &amp; Sistemas</v>
          </cell>
          <cell r="AP16" t="str">
            <v>Without Data</v>
          </cell>
        </row>
        <row r="17">
          <cell r="B17" t="str">
            <v>Sentinel</v>
          </cell>
          <cell r="M17" t="str">
            <v>Sentinel</v>
          </cell>
          <cell r="S17" t="str">
            <v>PRODUBAN MEXICO</v>
          </cell>
          <cell r="AP17" t="str">
            <v>Public Cloud</v>
          </cell>
        </row>
        <row r="18">
          <cell r="B18" t="str">
            <v>Qualys</v>
          </cell>
          <cell r="M18" t="str">
            <v>Qualys</v>
          </cell>
          <cell r="S18" t="str">
            <v>Qualys</v>
          </cell>
          <cell r="AP18" t="str">
            <v>Public Cloud</v>
          </cell>
        </row>
        <row r="19">
          <cell r="B19" t="str">
            <v>Nazca AS400</v>
          </cell>
          <cell r="M19" t="str">
            <v>Nazca AS400</v>
          </cell>
          <cell r="S19" t="str">
            <v>PRODUBAN MEXICO</v>
          </cell>
          <cell r="AP19" t="str">
            <v>Internal Cloud</v>
          </cell>
        </row>
        <row r="20">
          <cell r="B20" t="str">
            <v>Lbtr</v>
          </cell>
          <cell r="M20" t="str">
            <v>Lbtr</v>
          </cell>
          <cell r="S20" t="str">
            <v>Softtek</v>
          </cell>
          <cell r="AP20" t="str">
            <v>On Premises</v>
          </cell>
        </row>
        <row r="21">
          <cell r="B21" t="str">
            <v>Reporte Crediticio de Deudores</v>
          </cell>
          <cell r="M21" t="str">
            <v>Reporte Crediticio de Deudores</v>
          </cell>
          <cell r="S21" t="str">
            <v>PRODUBAN MEXICO</v>
          </cell>
          <cell r="AP21" t="str">
            <v>Internal Cloud</v>
          </cell>
        </row>
        <row r="22">
          <cell r="B22" t="str">
            <v>Portal Web Público - Portal Web</v>
          </cell>
          <cell r="M22" t="str">
            <v>Portal Web Público</v>
          </cell>
          <cell r="S22" t="str">
            <v>NADA</v>
          </cell>
          <cell r="AP22" t="str">
            <v>Private Cloud "Single Tenant"</v>
          </cell>
        </row>
        <row r="23">
          <cell r="B23" t="str">
            <v>RPA-Transferencias al exterior</v>
          </cell>
          <cell r="M23" t="str">
            <v>RPA-Transferencia al exterior</v>
          </cell>
          <cell r="S23" t="str">
            <v>zagitas</v>
          </cell>
        </row>
        <row r="24">
          <cell r="B24" t="str">
            <v>Seir</v>
          </cell>
          <cell r="M24" t="str">
            <v>Seir</v>
          </cell>
          <cell r="S24" t="str">
            <v>Open Business</v>
          </cell>
          <cell r="AP24" t="str">
            <v>Internal Cloud</v>
          </cell>
        </row>
        <row r="25">
          <cell r="B25" t="str">
            <v>Modulo Impresiones</v>
          </cell>
          <cell r="M25" t="str">
            <v>Modulo Impresiones</v>
          </cell>
          <cell r="S25" t="str">
            <v>Vector</v>
          </cell>
          <cell r="AP25" t="str">
            <v>Without Data</v>
          </cell>
        </row>
        <row r="26">
          <cell r="B26" t="str">
            <v>Service Now</v>
          </cell>
          <cell r="M26" t="str">
            <v>ServiceNow - ITSM</v>
          </cell>
          <cell r="S26" t="str">
            <v>ServiceNow</v>
          </cell>
          <cell r="AP26" t="str">
            <v>External</v>
          </cell>
        </row>
        <row r="27">
          <cell r="B27" t="str">
            <v>Sira</v>
          </cell>
          <cell r="M27" t="str">
            <v>Sira</v>
          </cell>
          <cell r="S27" t="str">
            <v>Santander Global Technologies</v>
          </cell>
          <cell r="AP27" t="str">
            <v>Public Cloud</v>
          </cell>
        </row>
        <row r="28">
          <cell r="B28" t="str">
            <v>Arka</v>
          </cell>
          <cell r="M28" t="str">
            <v>Arka</v>
          </cell>
          <cell r="S28" t="str">
            <v>Vector</v>
          </cell>
          <cell r="AP28" t="str">
            <v>Public Cloud</v>
          </cell>
        </row>
        <row r="29">
          <cell r="B29" t="str">
            <v>Refinitiv - Reuters</v>
          </cell>
          <cell r="M29" t="str">
            <v>Refinitiv</v>
          </cell>
          <cell r="S29" t="str">
            <v>Reuters</v>
          </cell>
          <cell r="AP29" t="str">
            <v>External</v>
          </cell>
        </row>
        <row r="30">
          <cell r="B30" t="str">
            <v>CEEFFC</v>
          </cell>
          <cell r="M30" t="str">
            <v>CEEFFC</v>
          </cell>
          <cell r="S30" t="str">
            <v>Softtek</v>
          </cell>
          <cell r="AP30" t="str">
            <v>On Premises</v>
          </cell>
        </row>
        <row r="31">
          <cell r="B31" t="str">
            <v>Mercurio</v>
          </cell>
          <cell r="M31" t="str">
            <v>Mercurio</v>
          </cell>
          <cell r="S31" t="str">
            <v>ISBAN España</v>
          </cell>
          <cell r="AP31" t="str">
            <v>Public Cloud</v>
          </cell>
        </row>
        <row r="32">
          <cell r="B32" t="str">
            <v>SafeWatch</v>
          </cell>
          <cell r="M32" t="str">
            <v>SafeWatch - Payment Screening</v>
          </cell>
          <cell r="S32" t="str">
            <v>UNIDENTIFIED</v>
          </cell>
          <cell r="AP32" t="str">
            <v>Public Cloud</v>
          </cell>
        </row>
        <row r="33">
          <cell r="B33" t="str">
            <v>Exchange</v>
          </cell>
          <cell r="M33" t="str">
            <v>Exchange</v>
          </cell>
          <cell r="S33" t="str">
            <v>MICROSOFT</v>
          </cell>
          <cell r="AP33" t="str">
            <v>Internal Cloud</v>
          </cell>
        </row>
        <row r="34">
          <cell r="B34" t="str">
            <v>Bloomberg / TOMS</v>
          </cell>
          <cell r="M34" t="str">
            <v>Bloomberg / TOMS.</v>
          </cell>
          <cell r="S34" t="str">
            <v>Bloomberg</v>
          </cell>
          <cell r="AP34" t="str">
            <v>External</v>
          </cell>
        </row>
        <row r="35">
          <cell r="B35" t="str">
            <v>Web Institucional</v>
          </cell>
          <cell r="M35" t="str">
            <v>Web Institucional</v>
          </cell>
          <cell r="S35" t="str">
            <v>Santander (Produban)</v>
          </cell>
          <cell r="AP35" t="str">
            <v>Public Cloud</v>
          </cell>
        </row>
        <row r="36">
          <cell r="B36" t="str">
            <v>Cisco Umbrella</v>
          </cell>
          <cell r="M36" t="str">
            <v>Cisco Umbrella</v>
          </cell>
          <cell r="S36" t="str">
            <v>Cisco Systems</v>
          </cell>
          <cell r="AP36" t="str">
            <v>Public Cloud</v>
          </cell>
        </row>
        <row r="37">
          <cell r="B37" t="str">
            <v>WebConsumer</v>
          </cell>
          <cell r="M37" t="str">
            <v>WebConsumer</v>
          </cell>
          <cell r="S37" t="str">
            <v>Sistemas SC</v>
          </cell>
          <cell r="AP37" t="str">
            <v>Without Data</v>
          </cell>
        </row>
        <row r="38">
          <cell r="B38" t="str">
            <v>Cobis - Cobis Corp</v>
          </cell>
          <cell r="M38" t="str">
            <v>Cobis</v>
          </cell>
          <cell r="S38" t="str">
            <v>COBIS (Cooperative Open Banking Information System)</v>
          </cell>
          <cell r="AP38" t="str">
            <v>Private Cloud "Single Tenant"</v>
          </cell>
        </row>
        <row r="39">
          <cell r="B39" t="str">
            <v>Cobis - App Surgir</v>
          </cell>
          <cell r="M39" t="str">
            <v>Cobis</v>
          </cell>
          <cell r="S39" t="str">
            <v>IT Software</v>
          </cell>
          <cell r="AP39" t="str">
            <v>Private Cloud "Single Tenant"</v>
          </cell>
        </row>
        <row r="40">
          <cell r="B40" t="str">
            <v>Cobis - Sistemática</v>
          </cell>
          <cell r="M40" t="str">
            <v>Cobis</v>
          </cell>
          <cell r="S40" t="str">
            <v>NADA</v>
          </cell>
          <cell r="AP40" t="str">
            <v>Private Cloud "Single Tenant"</v>
          </cell>
        </row>
        <row r="41">
          <cell r="B41" t="str">
            <v>IntranetSCP</v>
          </cell>
          <cell r="M41" t="str">
            <v>IntranetSCP</v>
          </cell>
          <cell r="S41" t="str">
            <v>Sistemas SC</v>
          </cell>
          <cell r="AP41" t="str">
            <v>On Premises</v>
          </cell>
        </row>
        <row r="42">
          <cell r="B42" t="str">
            <v>Portal Agenda Comercial</v>
          </cell>
          <cell r="M42" t="str">
            <v>Portal Agenda Comercial</v>
          </cell>
          <cell r="S42" t="str">
            <v>Sistemas SC</v>
          </cell>
          <cell r="AP42" t="str">
            <v>Without Data</v>
          </cell>
        </row>
        <row r="43">
          <cell r="B43" t="str">
            <v>Cotizador</v>
          </cell>
          <cell r="M43" t="str">
            <v>Cotizador</v>
          </cell>
          <cell r="S43" t="str">
            <v>Sistemas SC</v>
          </cell>
          <cell r="AP43" t="str">
            <v>Without Data</v>
          </cell>
        </row>
        <row r="44">
          <cell r="B44" t="str">
            <v>Calculadora RORAC</v>
          </cell>
          <cell r="M44" t="str">
            <v>Rorac</v>
          </cell>
          <cell r="S44" t="str">
            <v>Banco-DeliveryProyecto</v>
          </cell>
          <cell r="AP44" t="str">
            <v>On Premises</v>
          </cell>
        </row>
        <row r="45">
          <cell r="B45" t="str">
            <v>Docuclass</v>
          </cell>
          <cell r="M45" t="str">
            <v>Docuclass</v>
          </cell>
          <cell r="S45" t="str">
            <v>CIMA SOFTWARE</v>
          </cell>
          <cell r="AP45" t="str">
            <v>Internal Cloud</v>
          </cell>
        </row>
        <row r="46">
          <cell r="B46" t="str">
            <v>Gestionn de Cobranzas - Visor Cobranzas</v>
          </cell>
          <cell r="M46" t="str">
            <v>Gestionn de Cobranzas</v>
          </cell>
          <cell r="S46" t="str">
            <v>Visor</v>
          </cell>
          <cell r="AP46" t="str">
            <v>Internal Cloud</v>
          </cell>
        </row>
        <row r="47">
          <cell r="B47" t="str">
            <v>Sharepoint</v>
          </cell>
          <cell r="M47" t="str">
            <v>Sharepoint</v>
          </cell>
          <cell r="S47" t="str">
            <v>MICROSOFT</v>
          </cell>
          <cell r="AP47" t="str">
            <v>Internal Cloud</v>
          </cell>
        </row>
        <row r="48">
          <cell r="B48" t="str">
            <v xml:space="preserve">MOTOR TOP - BDR </v>
          </cell>
          <cell r="M48" t="str">
            <v>Motor TOP</v>
          </cell>
          <cell r="S48" t="str">
            <v>Santander Global Technologies</v>
          </cell>
          <cell r="AP48" t="str">
            <v>Internal Cloud</v>
          </cell>
        </row>
        <row r="49">
          <cell r="B49" t="str">
            <v xml:space="preserve">ERP Contanet </v>
          </cell>
          <cell r="M49" t="str">
            <v>ERP Contanet</v>
          </cell>
          <cell r="S49" t="str">
            <v>NADA</v>
          </cell>
          <cell r="AP49" t="str">
            <v>Private Cloud "Single Tenant"</v>
          </cell>
        </row>
        <row r="50">
          <cell r="B50" t="str">
            <v>Deep Security</v>
          </cell>
          <cell r="M50" t="str">
            <v>Deep Security</v>
          </cell>
          <cell r="S50" t="str">
            <v>Santander Global Technologies</v>
          </cell>
          <cell r="AP50" t="str">
            <v>Public Cloud</v>
          </cell>
        </row>
        <row r="51">
          <cell r="B51" t="str">
            <v>Crowdstrike</v>
          </cell>
          <cell r="M51" t="str">
            <v>CrowdStrike</v>
          </cell>
          <cell r="S51" t="str">
            <v>Santander Global Technologies</v>
          </cell>
          <cell r="AP51" t="str">
            <v>Internal Cloud</v>
          </cell>
        </row>
        <row r="52">
          <cell r="B52" t="str">
            <v>Motor New Default -power apps</v>
          </cell>
          <cell r="M52" t="str">
            <v>Motor New Default -power apps</v>
          </cell>
          <cell r="S52" t="str">
            <v>SGT</v>
          </cell>
          <cell r="AP52" t="str">
            <v>Internal Cloud</v>
          </cell>
        </row>
        <row r="53">
          <cell r="B53" t="str">
            <v>Credito Vehicular</v>
          </cell>
          <cell r="M53" t="str">
            <v>Modulo Negociación</v>
          </cell>
          <cell r="S53" t="str">
            <v>Third Parties</v>
          </cell>
          <cell r="AP53" t="str">
            <v>On Premises</v>
          </cell>
        </row>
        <row r="54">
          <cell r="B54" t="str">
            <v>Modulo Negociacion</v>
          </cell>
          <cell r="M54" t="str">
            <v>Portal Sales / Contratación</v>
          </cell>
          <cell r="S54" t="str">
            <v>Third Parties</v>
          </cell>
          <cell r="AP54" t="str">
            <v>On Premises</v>
          </cell>
        </row>
        <row r="55">
          <cell r="B55" t="str">
            <v>Spring ERP - Microsoft Dynamics</v>
          </cell>
          <cell r="M55" t="str">
            <v>Spring ERP</v>
          </cell>
          <cell r="S55" t="str">
            <v>MICROSOFT</v>
          </cell>
          <cell r="AP55" t="str">
            <v>On Premises</v>
          </cell>
        </row>
        <row r="56">
          <cell r="B56" t="str">
            <v>Sistema Office Banking - Office Banking</v>
          </cell>
          <cell r="M56" t="str">
            <v>Sistema Office Banking</v>
          </cell>
          <cell r="S56" t="str">
            <v>Softtek</v>
          </cell>
          <cell r="AP56" t="str">
            <v>Internal Cloud</v>
          </cell>
        </row>
        <row r="57">
          <cell r="B57" t="str">
            <v>Sistema Mes Dinero</v>
          </cell>
          <cell r="M57" t="str">
            <v>Sistema Mes Dinero</v>
          </cell>
          <cell r="S57" t="str">
            <v>PRODUBAN MEXICO</v>
          </cell>
          <cell r="AP57" t="str">
            <v>Internal Cloud</v>
          </cell>
        </row>
        <row r="58">
          <cell r="B58" t="str">
            <v>SISTEMA DE FIRMAS Y PODERES</v>
          </cell>
          <cell r="M58" t="str">
            <v>Sistema de firmas y poderes (Hiperfirma)</v>
          </cell>
          <cell r="S58" t="str">
            <v>PRODUBAN MEXICO</v>
          </cell>
          <cell r="AP58" t="str">
            <v>Internal Cloud</v>
          </cell>
        </row>
        <row r="59">
          <cell r="B59" t="str">
            <v>Alexandria Salesforce</v>
          </cell>
          <cell r="M59" t="str">
            <v>Alexandria</v>
          </cell>
          <cell r="S59" t="str">
            <v>Salesforce</v>
          </cell>
          <cell r="AP59" t="str">
            <v>External</v>
          </cell>
        </row>
        <row r="60">
          <cell r="B60" t="str">
            <v>LSEG -Refinitiv Workspace</v>
          </cell>
          <cell r="M60" t="str">
            <v>Refinitiv EIKON</v>
          </cell>
          <cell r="S60" t="str">
            <v>LSEG</v>
          </cell>
          <cell r="AP60" t="str">
            <v>External</v>
          </cell>
        </row>
        <row r="61">
          <cell r="B61" t="str">
            <v>AQUAPLUS</v>
          </cell>
          <cell r="M61" t="str">
            <v>AquaPlus</v>
          </cell>
          <cell r="S61" t="str">
            <v>Santander Digital Services</v>
          </cell>
          <cell r="AP61" t="str">
            <v>Hybrid</v>
          </cell>
        </row>
        <row r="62">
          <cell r="B62" t="str">
            <v>NILO Plus</v>
          </cell>
          <cell r="M62" t="str">
            <v>NiloPlus</v>
          </cell>
          <cell r="S62" t="str">
            <v>Santander Digital Services</v>
          </cell>
          <cell r="AP62" t="str">
            <v>Hybrid</v>
          </cell>
        </row>
        <row r="63">
          <cell r="B63" t="str">
            <v>MISCO GCB</v>
          </cell>
          <cell r="M63" t="str">
            <v>Misco GCB</v>
          </cell>
          <cell r="S63" t="str">
            <v>Santander Digital Services</v>
          </cell>
          <cell r="AP63" t="str">
            <v>Hybrid</v>
          </cell>
        </row>
        <row r="64">
          <cell r="B64" t="str">
            <v>GBO Tier2 Americas</v>
          </cell>
          <cell r="M64" t="str">
            <v>GBO Tier 2 Americas</v>
          </cell>
          <cell r="S64" t="str">
            <v>Santander Digital Services</v>
          </cell>
          <cell r="AP64" t="str">
            <v>Hybrid</v>
          </cell>
        </row>
        <row r="65">
          <cell r="B65" t="str">
            <v>CARGABAL PLUS</v>
          </cell>
          <cell r="M65" t="str">
            <v>Cargabal - Contabilidad</v>
          </cell>
          <cell r="S65" t="str">
            <v>SAP</v>
          </cell>
          <cell r="AP65" t="str">
            <v>Internal Cloud</v>
          </cell>
        </row>
        <row r="66">
          <cell r="B66" t="str">
            <v>Murex Latam 3.1</v>
          </cell>
          <cell r="M66" t="str">
            <v>Murex Latam 3.1</v>
          </cell>
          <cell r="S66" t="str">
            <v>Murex</v>
          </cell>
          <cell r="AP66" t="str">
            <v>Hybrid</v>
          </cell>
        </row>
        <row r="67">
          <cell r="B67" t="str">
            <v>SWIFT</v>
          </cell>
          <cell r="M67" t="str">
            <v>Swift</v>
          </cell>
          <cell r="S67" t="str">
            <v>Datco Service Bureau (SWIFT)</v>
          </cell>
          <cell r="AP67" t="str">
            <v>Private Cloud "Single Tenant"</v>
          </cell>
        </row>
        <row r="68">
          <cell r="B68" t="str">
            <v>ARIES (METRICSTREAM)</v>
          </cell>
          <cell r="M68" t="str">
            <v>Aries</v>
          </cell>
          <cell r="S68" t="str">
            <v>Santander Global Technologies</v>
          </cell>
          <cell r="AP68" t="str">
            <v>Internal Cloud</v>
          </cell>
        </row>
        <row r="69">
          <cell r="B69" t="str">
            <v>SUPRA - MOTOR NEW DEFAULT</v>
          </cell>
          <cell r="M69" t="str">
            <v>Motor New Default</v>
          </cell>
          <cell r="S69" t="str">
            <v>Santander Global Technologies</v>
          </cell>
          <cell r="AP69" t="str">
            <v>Internal Cloud</v>
          </cell>
        </row>
        <row r="70">
          <cell r="B70" t="str">
            <v>Fortify on Premise</v>
          </cell>
          <cell r="M70" t="str">
            <v>Fortify</v>
          </cell>
          <cell r="S70" t="str">
            <v>Micro Focus International</v>
          </cell>
          <cell r="AP70" t="str">
            <v>On Premises</v>
          </cell>
        </row>
        <row r="71">
          <cell r="B71" t="str">
            <v>Kiuwan</v>
          </cell>
          <cell r="M71" t="str">
            <v>Kiuwan</v>
          </cell>
          <cell r="S71" t="str">
            <v>Open Source</v>
          </cell>
          <cell r="AP71" t="str">
            <v>Private Cloud "Single Tenant"</v>
          </cell>
        </row>
        <row r="72">
          <cell r="B72" t="str">
            <v>INTRANET CORPORATIVA</v>
          </cell>
          <cell r="M72" t="str">
            <v>Intranet Corporativa</v>
          </cell>
          <cell r="S72" t="str">
            <v>Santander Global Technologies</v>
          </cell>
          <cell r="AP72" t="str">
            <v>Internal Cloud</v>
          </cell>
        </row>
        <row r="73">
          <cell r="B73" t="str">
            <v>NUEVA OFFICE BANKING_DEV</v>
          </cell>
          <cell r="M73" t="str">
            <v>Sistema Office Banking</v>
          </cell>
          <cell r="S73" t="str">
            <v>PRODUBAN MEXICO</v>
          </cell>
          <cell r="AP73" t="str">
            <v>Private Cloud "Single Tenant"</v>
          </cell>
        </row>
        <row r="74">
          <cell r="B74" t="str">
            <v>NUEVA OFFICE BANKING PREPROD</v>
          </cell>
          <cell r="M74" t="str">
            <v>Sistema Office Banking</v>
          </cell>
          <cell r="S74" t="str">
            <v>PRODUBAN MEXICO</v>
          </cell>
          <cell r="AP74" t="str">
            <v>Private Cloud "Single Tenant"</v>
          </cell>
        </row>
        <row r="75">
          <cell r="B75" t="str">
            <v>Sistema Office Banking - eBanking</v>
          </cell>
          <cell r="M75" t="str">
            <v>Sistema Office Banking</v>
          </cell>
          <cell r="S75" t="str">
            <v>NTT Data</v>
          </cell>
          <cell r="AP75" t="str">
            <v>Public Cloud</v>
          </cell>
        </row>
        <row r="76">
          <cell r="B76" t="str">
            <v>Deception</v>
          </cell>
          <cell r="M76" t="str">
            <v>Cymulate</v>
          </cell>
          <cell r="S76" t="str">
            <v>SGT</v>
          </cell>
          <cell r="AP76" t="str">
            <v>External</v>
          </cell>
        </row>
        <row r="77">
          <cell r="B77" t="str">
            <v>SailPoint IdentityIQ Colombia, Uruguay y Perú</v>
          </cell>
          <cell r="M77" t="str">
            <v>Sailpoint</v>
          </cell>
          <cell r="S77" t="str">
            <v>SailPoint</v>
          </cell>
          <cell r="AP77" t="str">
            <v>Internal Cloud</v>
          </cell>
        </row>
        <row r="78">
          <cell r="B78" t="str">
            <v>Intune</v>
          </cell>
          <cell r="M78" t="str">
            <v>InTune</v>
          </cell>
          <cell r="S78" t="str">
            <v>Santander Global Technologies</v>
          </cell>
          <cell r="AP78" t="str">
            <v>Without Data</v>
          </cell>
        </row>
        <row r="79">
          <cell r="B79" t="str">
            <v>Santi</v>
          </cell>
          <cell r="M79" t="str">
            <v>Santi</v>
          </cell>
          <cell r="S79" t="str">
            <v>Third Party</v>
          </cell>
          <cell r="AP79" t="str">
            <v>Internal Cloud</v>
          </cell>
        </row>
        <row r="80">
          <cell r="B80" t="str">
            <v>Motor de Crédito - Motor</v>
          </cell>
          <cell r="M80" t="str">
            <v>Motor de Crédito</v>
          </cell>
          <cell r="S80" t="str">
            <v>Third Party</v>
          </cell>
          <cell r="AP80" t="str">
            <v>Internal Cloud</v>
          </cell>
        </row>
        <row r="81">
          <cell r="B81" t="str">
            <v>Bantotal</v>
          </cell>
          <cell r="M81" t="str">
            <v>Bantotal - Core Bancario</v>
          </cell>
          <cell r="S81" t="str">
            <v>Third Party</v>
          </cell>
          <cell r="AP81" t="str">
            <v>Without Data</v>
          </cell>
        </row>
        <row r="82">
          <cell r="B82" t="str">
            <v>SAP ByDesign</v>
          </cell>
          <cell r="M82" t="str">
            <v>SAP ByDesign - ERP</v>
          </cell>
          <cell r="S82" t="str">
            <v>Third Party</v>
          </cell>
          <cell r="AP82" t="str">
            <v>Without Data</v>
          </cell>
        </row>
        <row r="83">
          <cell r="B83" t="str">
            <v>PSP</v>
          </cell>
          <cell r="M83" t="str">
            <v>PSP</v>
          </cell>
          <cell r="S83" t="str">
            <v>Santander Digital Services</v>
          </cell>
          <cell r="AP83" t="str">
            <v>On Premises</v>
          </cell>
        </row>
        <row r="84">
          <cell r="B84" t="str">
            <v>Rundeck MAP</v>
          </cell>
          <cell r="M84" t="str">
            <v>PSP</v>
          </cell>
          <cell r="S84" t="str">
            <v>Santander Digital Services</v>
          </cell>
          <cell r="AP84" t="str">
            <v>Internal Cloud</v>
          </cell>
        </row>
        <row r="85">
          <cell r="B85" t="str">
            <v>Terraform Enterprise (TFE)</v>
          </cell>
          <cell r="M85" t="str">
            <v>PSP</v>
          </cell>
          <cell r="S85" t="str">
            <v>Santander Digital Services</v>
          </cell>
          <cell r="AP85" t="str">
            <v>Public Cloud</v>
          </cell>
        </row>
        <row r="86">
          <cell r="B86" t="str">
            <v>Cisco Secure Client</v>
          </cell>
          <cell r="M86" t="str">
            <v>Cisco Secure Client</v>
          </cell>
          <cell r="S86" t="str">
            <v>Cisco Systems</v>
          </cell>
          <cell r="AP86" t="str">
            <v>On Premises</v>
          </cell>
        </row>
        <row r="87">
          <cell r="B87" t="str">
            <v>Cisco Secure Client</v>
          </cell>
          <cell r="M87" t="str">
            <v>Cisco Secure Client</v>
          </cell>
          <cell r="S87" t="str">
            <v>Cisco Systems</v>
          </cell>
          <cell r="AP87" t="str">
            <v>On Premises</v>
          </cell>
        </row>
        <row r="88">
          <cell r="B88" t="str">
            <v>NUEVO OOBB LZONE</v>
          </cell>
          <cell r="M88" t="str">
            <v>Nuevo Office Banking</v>
          </cell>
          <cell r="S88" t="str">
            <v>NTT Data</v>
          </cell>
          <cell r="AP88" t="str">
            <v>Public Cloud</v>
          </cell>
        </row>
        <row r="89">
          <cell r="B89" t="str">
            <v>SDH – Medea2</v>
          </cell>
          <cell r="M89" t="str">
            <v>Medea</v>
          </cell>
          <cell r="S89" t="str">
            <v>SANTANDER</v>
          </cell>
          <cell r="AP89" t="str">
            <v>External</v>
          </cell>
        </row>
        <row r="90">
          <cell r="B90" t="str">
            <v>Risk by Risk Local</v>
          </cell>
          <cell r="M90" t="str">
            <v>Risk by Risk Local</v>
          </cell>
          <cell r="S90" t="str">
            <v>Santander Global Technologies</v>
          </cell>
          <cell r="AP90" t="str">
            <v>Without Data</v>
          </cell>
        </row>
        <row r="91">
          <cell r="B91" t="str">
            <v>Plataforma Integracion</v>
          </cell>
          <cell r="M91" t="str">
            <v>Plataforma Integración</v>
          </cell>
          <cell r="S91" t="str">
            <v>NTT Data</v>
          </cell>
          <cell r="AP91" t="str">
            <v>Public Cloud</v>
          </cell>
        </row>
        <row r="92">
          <cell r="B92" t="str">
            <v>SAP ByDesign</v>
          </cell>
          <cell r="M92" t="str">
            <v xml:space="preserve">SAP ByDesign </v>
          </cell>
          <cell r="S92" t="str">
            <v>Third Party</v>
          </cell>
          <cell r="AP92" t="str">
            <v>Without Data</v>
          </cell>
        </row>
        <row r="93">
          <cell r="B93" t="str">
            <v>Zapier</v>
          </cell>
          <cell r="M93" t="str">
            <v>Zapier</v>
          </cell>
          <cell r="S93" t="str">
            <v>Tech and Design</v>
          </cell>
          <cell r="AP93" t="str">
            <v>External</v>
          </cell>
        </row>
        <row r="94">
          <cell r="B94" t="str">
            <v>SDH - MEDEA</v>
          </cell>
          <cell r="M94" t="str">
            <v>Medea</v>
          </cell>
          <cell r="S94" t="str">
            <v>Santander Global Technology &amp; Operations</v>
          </cell>
          <cell r="AP94" t="str">
            <v>Public Cloud</v>
          </cell>
        </row>
        <row r="95">
          <cell r="B95" t="str">
            <v>WebAntiguaAgenda</v>
          </cell>
          <cell r="M95" t="str">
            <v>WebAntiguaAgenda</v>
          </cell>
          <cell r="S95" t="str">
            <v>Sistemas SC</v>
          </cell>
          <cell r="AP95" t="str">
            <v>On Premises</v>
          </cell>
        </row>
        <row r="96">
          <cell r="B96" t="str">
            <v>Portal Web Público - Nueva WebConsumer</v>
          </cell>
          <cell r="M96" t="str">
            <v>Portal Web Público</v>
          </cell>
          <cell r="S96" t="str">
            <v>Sistemas SC</v>
          </cell>
          <cell r="AP96" t="str">
            <v>Public Cloud</v>
          </cell>
        </row>
        <row r="97">
          <cell r="B97" t="str">
            <v>Diligent</v>
          </cell>
          <cell r="M97" t="str">
            <v>Diligent</v>
          </cell>
          <cell r="S97" t="str">
            <v>DILIGENT BOARDBOOKS LIMITED</v>
          </cell>
          <cell r="AP97" t="str">
            <v>Private Cloud "Single Tenant"</v>
          </cell>
        </row>
        <row r="98">
          <cell r="B98" t="str">
            <v>MonitorPlus usuario</v>
          </cell>
          <cell r="M98" t="str">
            <v>Monitor Plus ACRM -  Transaction Monitorig</v>
          </cell>
          <cell r="S98" t="str">
            <v>Tech and Design</v>
          </cell>
          <cell r="AP98" t="str">
            <v>External</v>
          </cell>
        </row>
        <row r="99">
          <cell r="B99" t="str">
            <v>AppSIRH</v>
          </cell>
          <cell r="M99" t="str">
            <v>Plataforma de declaración jurada SIRH - Auto</v>
          </cell>
          <cell r="S99" t="str">
            <v>Sistemas SC</v>
          </cell>
          <cell r="AP99" t="str">
            <v>On Premises</v>
          </cell>
        </row>
        <row r="100">
          <cell r="B100" t="str">
            <v>SIRR</v>
          </cell>
          <cell r="M100" t="str">
            <v>SIRR</v>
          </cell>
          <cell r="S100" t="str">
            <v>Sistemas SC</v>
          </cell>
          <cell r="AP100" t="str">
            <v>Without Data</v>
          </cell>
        </row>
        <row r="101">
          <cell r="B101" t="str">
            <v>Batch Gesintel</v>
          </cell>
          <cell r="M101" t="str">
            <v>Batch Gesintel</v>
          </cell>
          <cell r="S101" t="str">
            <v>Sistemas SC</v>
          </cell>
          <cell r="AP101" t="str">
            <v>On Premises</v>
          </cell>
        </row>
        <row r="102">
          <cell r="B102" t="str">
            <v>AppSISRA</v>
          </cell>
          <cell r="M102" t="str">
            <v>AppSISRA</v>
          </cell>
          <cell r="S102" t="str">
            <v>Sistemas SC</v>
          </cell>
          <cell r="AP102" t="str">
            <v>On Premises</v>
          </cell>
        </row>
        <row r="103">
          <cell r="B103" t="str">
            <v>FE-BatchEnvioCPE</v>
          </cell>
          <cell r="M103" t="str">
            <v>Facturación Electrónica - Envío CPE (Batch) - Auto</v>
          </cell>
          <cell r="S103" t="str">
            <v>Sistemas SC</v>
          </cell>
          <cell r="AP103" t="str">
            <v>On Premises</v>
          </cell>
        </row>
        <row r="104">
          <cell r="B104" t="str">
            <v>FE-BatchRespuestaCPE</v>
          </cell>
          <cell r="M104" t="str">
            <v>Facturación Electrónica - Respuesta CPE (Batch) - Auto</v>
          </cell>
          <cell r="S104" t="str">
            <v>Sistemas SC</v>
          </cell>
          <cell r="AP104" t="str">
            <v>On Premises</v>
          </cell>
        </row>
        <row r="105">
          <cell r="B105" t="str">
            <v>FE-FrontEnd</v>
          </cell>
          <cell r="M105" t="str">
            <v>Facturación Electrónica - Auto</v>
          </cell>
          <cell r="S105" t="str">
            <v>Sistemas SC</v>
          </cell>
          <cell r="AP105" t="str">
            <v>On Premises</v>
          </cell>
        </row>
        <row r="106">
          <cell r="B106" t="str">
            <v>WebAPI_FFVV</v>
          </cell>
          <cell r="M106" t="str">
            <v>APIs Fuerza de Ventas - Auto</v>
          </cell>
          <cell r="S106" t="str">
            <v>Sistemas SC</v>
          </cell>
          <cell r="AP106" t="str">
            <v>On Premises</v>
          </cell>
        </row>
        <row r="107">
          <cell r="B107" t="str">
            <v>Calypso FXMM</v>
          </cell>
          <cell r="M107" t="str">
            <v>Calypso FXMM</v>
          </cell>
          <cell r="S107" t="str">
            <v>Calypso Technologies</v>
          </cell>
          <cell r="AP107" t="str">
            <v>Hybrid</v>
          </cell>
        </row>
        <row r="108">
          <cell r="B108" t="str">
            <v>MARS JAC</v>
          </cell>
          <cell r="M108" t="str">
            <v>MARS</v>
          </cell>
          <cell r="S108" t="str">
            <v>Santander Digital Services</v>
          </cell>
          <cell r="AP108" t="str">
            <v>Internal Cloud</v>
          </cell>
        </row>
        <row r="109">
          <cell r="B109" t="str">
            <v>AIRe Latam</v>
          </cell>
          <cell r="M109" t="str">
            <v>AIRe Latam</v>
          </cell>
          <cell r="S109" t="str">
            <v>Santander Digital Services</v>
          </cell>
          <cell r="AP109" t="str">
            <v>Hybrid</v>
          </cell>
        </row>
        <row r="110">
          <cell r="B110" t="str">
            <v>Microservicios Datos Mercado</v>
          </cell>
          <cell r="M110" t="str">
            <v>Acquired Data Store</v>
          </cell>
          <cell r="S110" t="str">
            <v>Santander Digital Services</v>
          </cell>
          <cell r="AP110" t="str">
            <v>Hybrid</v>
          </cell>
        </row>
        <row r="111">
          <cell r="B111" t="str">
            <v>Sppi test</v>
          </cell>
          <cell r="M111" t="str">
            <v>SPPI test</v>
          </cell>
          <cell r="S111" t="str">
            <v>Santander Digital Services</v>
          </cell>
          <cell r="AP111" t="str">
            <v>Hybrid</v>
          </cell>
        </row>
        <row r="112">
          <cell r="B112" t="str">
            <v>RORAC</v>
          </cell>
          <cell r="M112" t="str">
            <v>RORAC</v>
          </cell>
          <cell r="S112" t="str">
            <v>Santander Digital Services</v>
          </cell>
          <cell r="AP112" t="str">
            <v>Hybrid</v>
          </cell>
        </row>
        <row r="113">
          <cell r="B113" t="str">
            <v>Gestión Comités</v>
          </cell>
          <cell r="M113" t="str">
            <v>Gestión Comités</v>
          </cell>
          <cell r="S113" t="str">
            <v>Santander Digital Services</v>
          </cell>
          <cell r="AP113" t="str">
            <v>Hybrid</v>
          </cell>
        </row>
        <row r="114">
          <cell r="B114" t="str">
            <v>CREAM BATCH REPORTING</v>
          </cell>
          <cell r="M114" t="str">
            <v>Cream Management</v>
          </cell>
          <cell r="S114" t="str">
            <v>Santander Digital Services</v>
          </cell>
          <cell r="AP114" t="str">
            <v>Internal Cloud</v>
          </cell>
        </row>
        <row r="115">
          <cell r="B115" t="str">
            <v>Dashboard Receivables Portfolio Management</v>
          </cell>
          <cell r="M115" t="str">
            <v>Receivables Global Platform (RPPs)</v>
          </cell>
          <cell r="S115" t="str">
            <v>Santander Digital Services</v>
          </cell>
          <cell r="AP115" t="str">
            <v>Hybrid</v>
          </cell>
        </row>
        <row r="116">
          <cell r="B116" t="str">
            <v>ORFEO 2</v>
          </cell>
          <cell r="M116" t="str">
            <v>ORFEO Global</v>
          </cell>
          <cell r="S116" t="str">
            <v>Santander Digital Services</v>
          </cell>
          <cell r="AP116" t="str">
            <v>Hybrid</v>
          </cell>
        </row>
        <row r="117">
          <cell r="B117" t="str">
            <v>WF Research Disclosures</v>
          </cell>
          <cell r="M117" t="str">
            <v>WF Research Disclosures</v>
          </cell>
          <cell r="S117" t="str">
            <v>Santander Digital Services</v>
          </cell>
          <cell r="AP117" t="str">
            <v>Hybrid</v>
          </cell>
        </row>
        <row r="118">
          <cell r="B118" t="str">
            <v>XVA Qlik</v>
          </cell>
          <cell r="M118" t="str">
            <v>Sigma xVA</v>
          </cell>
          <cell r="S118" t="str">
            <v>Santander Digital Services</v>
          </cell>
          <cell r="AP118" t="str">
            <v>Hybrid</v>
          </cell>
        </row>
        <row r="119">
          <cell r="B119" t="str">
            <v>Early Alerts</v>
          </cell>
          <cell r="M119" t="str">
            <v>Early Alerts</v>
          </cell>
          <cell r="S119" t="str">
            <v>Santander Digital Services</v>
          </cell>
          <cell r="AP119" t="str">
            <v>Hybrid</v>
          </cell>
        </row>
        <row r="120">
          <cell r="B120" t="str">
            <v>FPC - Finance Performance Cube</v>
          </cell>
          <cell r="M120" t="str">
            <v>FPC</v>
          </cell>
          <cell r="S120" t="str">
            <v>Santander Digital Services</v>
          </cell>
          <cell r="AP120" t="str">
            <v>Hybrid</v>
          </cell>
        </row>
        <row r="121">
          <cell r="B121" t="str">
            <v>Murex 3.1 Europe</v>
          </cell>
          <cell r="M121" t="str">
            <v>Murex 3.1 Europe</v>
          </cell>
          <cell r="S121" t="str">
            <v>Murex</v>
          </cell>
          <cell r="AP121" t="str">
            <v>Hybrid</v>
          </cell>
        </row>
        <row r="122">
          <cell r="B122" t="str">
            <v>Digital Platform Employee</v>
          </cell>
          <cell r="M122" t="str">
            <v>SCIB Digital Platform</v>
          </cell>
          <cell r="S122" t="str">
            <v>Santander Digital Services</v>
          </cell>
          <cell r="AP122" t="str">
            <v>Hybrid</v>
          </cell>
        </row>
        <row r="123">
          <cell r="B123" t="str">
            <v>TDM</v>
          </cell>
          <cell r="M123" t="str">
            <v>TDM</v>
          </cell>
          <cell r="S123" t="str">
            <v>Santander Digital Services</v>
          </cell>
          <cell r="AP123" t="str">
            <v>Hybrid</v>
          </cell>
        </row>
        <row r="124">
          <cell r="B124" t="str">
            <v>Foqus</v>
          </cell>
          <cell r="M124" t="str">
            <v>FoQus</v>
          </cell>
          <cell r="S124" t="str">
            <v>Qaracter</v>
          </cell>
          <cell r="AP124" t="str">
            <v>Public Cloud</v>
          </cell>
        </row>
        <row r="125">
          <cell r="B125" t="str">
            <v>Atom FX</v>
          </cell>
          <cell r="M125" t="str">
            <v>Atom FX</v>
          </cell>
          <cell r="S125" t="str">
            <v>Santander Digital Services</v>
          </cell>
          <cell r="AP125" t="str">
            <v>Hybrid</v>
          </cell>
        </row>
        <row r="126">
          <cell r="B126" t="str">
            <v>SUPRA - FRTB</v>
          </cell>
          <cell r="M126" t="str">
            <v>SUPRA - FRTB</v>
          </cell>
          <cell r="S126" t="str">
            <v>Santander Digital Services</v>
          </cell>
          <cell r="AP126" t="str">
            <v>Hybrid</v>
          </cell>
        </row>
        <row r="127">
          <cell r="B127" t="str">
            <v>Batch IFRS9 CIB</v>
          </cell>
          <cell r="M127" t="str">
            <v>IFRS9 GCB</v>
          </cell>
          <cell r="S127" t="str">
            <v>Santander Digital Services</v>
          </cell>
          <cell r="AP127" t="str">
            <v>Internal Cloud</v>
          </cell>
        </row>
        <row r="128">
          <cell r="B128" t="str">
            <v>Modelabilidad</v>
          </cell>
          <cell r="M128" t="str">
            <v>Modelabilidad</v>
          </cell>
          <cell r="S128" t="str">
            <v>Santander Digital Services</v>
          </cell>
          <cell r="AP128" t="str">
            <v>Hybrid</v>
          </cell>
        </row>
        <row r="129">
          <cell r="B129" t="str">
            <v>Mercurio</v>
          </cell>
          <cell r="M129" t="str">
            <v>Mercurio</v>
          </cell>
          <cell r="S129" t="str">
            <v>Santander Digital Services</v>
          </cell>
          <cell r="AP129" t="str">
            <v>Hybrid</v>
          </cell>
        </row>
        <row r="130">
          <cell r="B130" t="str">
            <v>Cross Colaboration</v>
          </cell>
          <cell r="M130" t="str">
            <v>Cross Colaboration</v>
          </cell>
          <cell r="S130" t="str">
            <v>Santander Digital Services</v>
          </cell>
          <cell r="AP130" t="str">
            <v>Hybrid</v>
          </cell>
        </row>
        <row r="131">
          <cell r="B131" t="str">
            <v>WF ECO</v>
          </cell>
          <cell r="M131" t="str">
            <v>ECO Workflow</v>
          </cell>
          <cell r="S131" t="str">
            <v>Santander Digital Services</v>
          </cell>
          <cell r="AP131" t="str">
            <v>Hybrid</v>
          </cell>
        </row>
        <row r="132">
          <cell r="B132" t="str">
            <v>Revisión SCAN.</v>
          </cell>
          <cell r="M132" t="str">
            <v>SCAN.</v>
          </cell>
          <cell r="S132" t="str">
            <v>Santander Digital Services</v>
          </cell>
          <cell r="AP132" t="str">
            <v>Hybrid</v>
          </cell>
        </row>
        <row r="133">
          <cell r="B133" t="str">
            <v>CRISTINE 2</v>
          </cell>
          <cell r="M133" t="str">
            <v>Cristine 2</v>
          </cell>
          <cell r="S133" t="str">
            <v>Santander Digital Services</v>
          </cell>
          <cell r="AP133" t="str">
            <v>Hybrid</v>
          </cell>
        </row>
        <row r="134">
          <cell r="B134" t="str">
            <v>Triforce</v>
          </cell>
          <cell r="M134" t="str">
            <v>Triforce</v>
          </cell>
          <cell r="S134" t="str">
            <v>Santander Digital Services</v>
          </cell>
          <cell r="AP134" t="str">
            <v>Hybrid</v>
          </cell>
        </row>
        <row r="135">
          <cell r="B135" t="str">
            <v>SIMA Motor</v>
          </cell>
          <cell r="M135" t="str">
            <v>SIMA CIB</v>
          </cell>
          <cell r="S135" t="str">
            <v>Santander Digital Services</v>
          </cell>
          <cell r="AP135" t="str">
            <v>Hybrid</v>
          </cell>
        </row>
        <row r="136">
          <cell r="B136" t="str">
            <v>Platform Oversight</v>
          </cell>
          <cell r="M136" t="str">
            <v>Platform Oversight</v>
          </cell>
          <cell r="S136" t="str">
            <v>VERMEG</v>
          </cell>
          <cell r="AP136" t="str">
            <v>Hybrid</v>
          </cell>
        </row>
        <row r="137">
          <cell r="B137" t="str">
            <v>CESAR</v>
          </cell>
          <cell r="M137" t="str">
            <v>WF Limites (CESAR)</v>
          </cell>
          <cell r="S137" t="str">
            <v>VERMEG</v>
          </cell>
          <cell r="AP137" t="str">
            <v>Hybrid</v>
          </cell>
        </row>
        <row r="138">
          <cell r="B138" t="str">
            <v>GER</v>
          </cell>
          <cell r="M138" t="str">
            <v>Ger</v>
          </cell>
          <cell r="S138" t="str">
            <v>Santander Digital Services</v>
          </cell>
          <cell r="AP138" t="str">
            <v>Hybrid</v>
          </cell>
        </row>
        <row r="139">
          <cell r="B139" t="str">
            <v>Sharea Employees</v>
          </cell>
          <cell r="M139" t="str">
            <v>Sharea</v>
          </cell>
          <cell r="S139" t="str">
            <v>Santander Digital Services</v>
          </cell>
          <cell r="AP139" t="str">
            <v>Hybrid</v>
          </cell>
        </row>
        <row r="140">
          <cell r="B140" t="str">
            <v>Leverage Finance Engine</v>
          </cell>
          <cell r="M140" t="str">
            <v>LFE</v>
          </cell>
          <cell r="S140" t="str">
            <v>Santander Digital Services</v>
          </cell>
          <cell r="AP140" t="str">
            <v>Hybrid</v>
          </cell>
        </row>
        <row r="141">
          <cell r="B141" t="str">
            <v>CREAM ONLINE</v>
          </cell>
          <cell r="M141" t="str">
            <v>Cream Management</v>
          </cell>
          <cell r="S141" t="str">
            <v>Santander Digital Services</v>
          </cell>
          <cell r="AP141" t="str">
            <v>Hybrid</v>
          </cell>
        </row>
        <row r="142">
          <cell r="B142" t="str">
            <v>MISCO Portal Administración</v>
          </cell>
          <cell r="M142" t="str">
            <v>Misco GCB</v>
          </cell>
          <cell r="S142" t="str">
            <v>Santander Digital Services</v>
          </cell>
          <cell r="AP142" t="str">
            <v>Hybrid</v>
          </cell>
        </row>
        <row r="143">
          <cell r="B143" t="str">
            <v>RatingPlus</v>
          </cell>
          <cell r="M143" t="str">
            <v>RatingPlus</v>
          </cell>
          <cell r="S143" t="str">
            <v>Información de Gestión</v>
          </cell>
          <cell r="AP143" t="str">
            <v>Without Data</v>
          </cell>
        </row>
        <row r="144">
          <cell r="B144" t="str">
            <v>Gesintel</v>
          </cell>
          <cell r="M144" t="str">
            <v>Gesintel</v>
          </cell>
          <cell r="S144" t="str">
            <v>Tech and Design</v>
          </cell>
          <cell r="AP144" t="str">
            <v>Public Cloud</v>
          </cell>
        </row>
        <row r="145">
          <cell r="B145" t="str">
            <v>BANTOTAL-CREDISCOTIA</v>
          </cell>
          <cell r="M145" t="str">
            <v>BanTotal-CrediScotia</v>
          </cell>
          <cell r="S145" t="str">
            <v>Third Party</v>
          </cell>
          <cell r="AP145" t="str">
            <v>Without Data</v>
          </cell>
        </row>
        <row r="146">
          <cell r="B146" t="str">
            <v>DLHCP</v>
          </cell>
          <cell r="M146" t="str">
            <v>Datalake House BSP-</v>
          </cell>
          <cell r="S146" t="str">
            <v>NTT Data</v>
          </cell>
          <cell r="AP146" t="str">
            <v>Internal Cloud</v>
          </cell>
        </row>
        <row r="147">
          <cell r="B147" t="str">
            <v>Gluon Early Access</v>
          </cell>
          <cell r="M147" t="str">
            <v>Gluon</v>
          </cell>
          <cell r="S147" t="str">
            <v>Santander Global Banking (GBM)</v>
          </cell>
          <cell r="AP147" t="str">
            <v>Internal Cloud</v>
          </cell>
        </row>
        <row r="148">
          <cell r="B148" t="str">
            <v>Gluon - Gluon Early Access</v>
          </cell>
          <cell r="M148" t="str">
            <v>Gluon</v>
          </cell>
          <cell r="S148" t="str">
            <v>Santander Global Banking (GBM)</v>
          </cell>
          <cell r="AP148" t="str">
            <v>Internal Cloud</v>
          </cell>
        </row>
        <row r="149">
          <cell r="B149" t="str">
            <v>MOTOR_PRE</v>
          </cell>
          <cell r="M149" t="str">
            <v>MOTOR_PRE</v>
          </cell>
          <cell r="S149" t="str">
            <v>Third Party</v>
          </cell>
          <cell r="AP149" t="str">
            <v>Internal Cloud</v>
          </cell>
        </row>
        <row r="150">
          <cell r="B150" t="str">
            <v>AMLUpdate</v>
          </cell>
          <cell r="M150" t="str">
            <v>AMLUpdate - Name Screening</v>
          </cell>
          <cell r="S150" t="str">
            <v>Tech and Design</v>
          </cell>
          <cell r="AP150" t="str">
            <v>Public Cloud</v>
          </cell>
        </row>
        <row r="151">
          <cell r="B151" t="str">
            <v>Motor decision ambiente test</v>
          </cell>
          <cell r="M151" t="str">
            <v>Motor decision ambiente test</v>
          </cell>
          <cell r="S151" t="str">
            <v>Modellica</v>
          </cell>
          <cell r="AP151" t="str">
            <v>Public Cloud</v>
          </cell>
        </row>
        <row r="152">
          <cell r="B152" t="str">
            <v>WorldSys</v>
          </cell>
          <cell r="M152" t="str">
            <v>WorldSys</v>
          </cell>
          <cell r="S152" t="str">
            <v>Tech and Design</v>
          </cell>
          <cell r="AP152" t="str">
            <v>Public Cloud</v>
          </cell>
        </row>
        <row r="153">
          <cell r="B153" t="str">
            <v>PINVLDN</v>
          </cell>
          <cell r="M153" t="str">
            <v>PIN Validation App - Auto</v>
          </cell>
          <cell r="S153" t="str">
            <v>Tech and Design</v>
          </cell>
          <cell r="AP153" t="str">
            <v>Internal Cloud</v>
          </cell>
        </row>
        <row r="154">
          <cell r="B154" t="str">
            <v>Santo - Web Core</v>
          </cell>
          <cell r="M154" t="str">
            <v>Santo</v>
          </cell>
          <cell r="S154" t="str">
            <v>Third Party</v>
          </cell>
          <cell r="AP154" t="str">
            <v>Public Cloud</v>
          </cell>
        </row>
        <row r="155">
          <cell r="B155" t="str">
            <v>Santo - Web Plaft</v>
          </cell>
          <cell r="M155" t="str">
            <v>Santo</v>
          </cell>
          <cell r="S155" t="str">
            <v>Third Party</v>
          </cell>
          <cell r="AP155" t="str">
            <v>Public Cloud</v>
          </cell>
        </row>
        <row r="156">
          <cell r="B156" t="str">
            <v>Santo - Web Front</v>
          </cell>
          <cell r="M156" t="str">
            <v>Santo</v>
          </cell>
          <cell r="S156" t="str">
            <v>Third Party</v>
          </cell>
          <cell r="AP156" t="str">
            <v>Public Cloud</v>
          </cell>
        </row>
        <row r="157">
          <cell r="B157" t="str">
            <v>Rankmi</v>
          </cell>
          <cell r="M157" t="str">
            <v>Rankmi</v>
          </cell>
          <cell r="S157" t="str">
            <v>Third Party</v>
          </cell>
          <cell r="AP157" t="str">
            <v>Public Cloud</v>
          </cell>
        </row>
        <row r="158">
          <cell r="B158" t="str">
            <v>Helios_credi</v>
          </cell>
          <cell r="M158" t="str">
            <v>Reporte Helios</v>
          </cell>
          <cell r="S158" t="str">
            <v>Tech and Design</v>
          </cell>
          <cell r="AP158" t="str">
            <v>Hybrid</v>
          </cell>
        </row>
        <row r="159">
          <cell r="B159" t="str">
            <v>Rankmi_pre</v>
          </cell>
          <cell r="M159" t="str">
            <v>Rankmi_pre</v>
          </cell>
          <cell r="S159" t="str">
            <v>Third Party</v>
          </cell>
          <cell r="AP159" t="str">
            <v>Public Cloud</v>
          </cell>
        </row>
        <row r="160">
          <cell r="B160" t="str">
            <v>SDH - MIS CCB</v>
          </cell>
          <cell r="M160" t="str">
            <v>SDH - MIS CCB</v>
          </cell>
          <cell r="S160" t="str">
            <v>Santander Global Technology &amp; Operations</v>
          </cell>
          <cell r="AP160" t="str">
            <v>Public Cloud</v>
          </cell>
        </row>
        <row r="161">
          <cell r="B161" t="str">
            <v>DOJO Perú</v>
          </cell>
          <cell r="M161" t="str">
            <v>DOJO</v>
          </cell>
          <cell r="S161" t="str">
            <v>CornerStone</v>
          </cell>
          <cell r="AP161" t="str">
            <v>External</v>
          </cell>
        </row>
        <row r="162">
          <cell r="B162" t="str">
            <v>DOJO Perú App</v>
          </cell>
          <cell r="M162" t="str">
            <v>DOJO</v>
          </cell>
          <cell r="S162" t="str">
            <v>CornerStone</v>
          </cell>
          <cell r="AP162" t="str">
            <v>External</v>
          </cell>
        </row>
        <row r="163">
          <cell r="B163" t="str">
            <v>EDCAST LXP</v>
          </cell>
          <cell r="M163" t="str">
            <v>DOJO 2.0</v>
          </cell>
          <cell r="S163" t="str">
            <v>CornerStone</v>
          </cell>
          <cell r="AP163" t="str">
            <v>External</v>
          </cell>
        </row>
        <row r="164">
          <cell r="B164" t="str">
            <v>EDCAST LXP APP</v>
          </cell>
          <cell r="M164" t="str">
            <v>DOJO 2.0</v>
          </cell>
          <cell r="S164" t="str">
            <v>CornerStone</v>
          </cell>
          <cell r="AP164" t="str">
            <v>External</v>
          </cell>
        </row>
        <row r="165">
          <cell r="B165" t="str">
            <v>Confirming</v>
          </cell>
          <cell r="M165" t="str">
            <v>Confirming</v>
          </cell>
          <cell r="S165" t="str">
            <v>NTT Data</v>
          </cell>
          <cell r="AP165" t="str">
            <v>On Premises</v>
          </cell>
        </row>
        <row r="166">
          <cell r="B166" t="str">
            <v>AMLUpdate</v>
          </cell>
          <cell r="M166" t="str">
            <v>AMLUpdate - Name Screening</v>
          </cell>
          <cell r="S166" t="str">
            <v>Tech and Design</v>
          </cell>
          <cell r="AP166" t="str">
            <v>Public Cloud</v>
          </cell>
        </row>
        <row r="167">
          <cell r="B167" t="str">
            <v>Gesintel QA</v>
          </cell>
          <cell r="M167" t="str">
            <v>Gesintel QA</v>
          </cell>
          <cell r="S167" t="str">
            <v>Tech and Design</v>
          </cell>
          <cell r="AP167" t="str">
            <v>Public Cloud</v>
          </cell>
        </row>
        <row r="168">
          <cell r="B168" t="str">
            <v>AMLUpdate</v>
          </cell>
          <cell r="M168" t="str">
            <v>AMLUpdate - Name Screening</v>
          </cell>
          <cell r="S168" t="str">
            <v>Tech and Design</v>
          </cell>
          <cell r="AP168" t="str">
            <v>Public Cloud</v>
          </cell>
        </row>
        <row r="169">
          <cell r="B169" t="str">
            <v>Gesintel QA</v>
          </cell>
          <cell r="M169" t="str">
            <v>Gesintel QA</v>
          </cell>
          <cell r="S169" t="str">
            <v>Tech and Design</v>
          </cell>
          <cell r="AP169" t="str">
            <v>Public Cloud</v>
          </cell>
        </row>
        <row r="170">
          <cell r="B170" t="str">
            <v>Api Market</v>
          </cell>
          <cell r="M170" t="str">
            <v>Api Market</v>
          </cell>
          <cell r="S170" t="str">
            <v>Globant</v>
          </cell>
          <cell r="AP170" t="str">
            <v>Public Cloud</v>
          </cell>
        </row>
        <row r="171">
          <cell r="B171" t="str">
            <v>COBIS CORP QA</v>
          </cell>
          <cell r="M171" t="str">
            <v>COBIS CORP QA</v>
          </cell>
          <cell r="S171" t="str">
            <v>COBIS (Cooperative Open Banking Information System)</v>
          </cell>
          <cell r="AP171" t="str">
            <v>Public Cloud</v>
          </cell>
        </row>
        <row r="172">
          <cell r="B172" t="str">
            <v>Infra LZ BSP PRE</v>
          </cell>
          <cell r="M172" t="str">
            <v>Infra LZ BSP</v>
          </cell>
          <cell r="S172" t="str">
            <v>Santander Global Technology &amp; Operations</v>
          </cell>
          <cell r="AP172" t="str">
            <v>Public Cloud</v>
          </cell>
        </row>
        <row r="173">
          <cell r="B173" t="str">
            <v>Gesintel-QA SC</v>
          </cell>
          <cell r="M173" t="str">
            <v>AMLUpdate - Name Screening</v>
          </cell>
          <cell r="S173" t="str">
            <v>Tech and Design</v>
          </cell>
          <cell r="AP173" t="str">
            <v>Public Cloud</v>
          </cell>
        </row>
        <row r="174">
          <cell r="B174" t="str">
            <v>AMLUpdate</v>
          </cell>
          <cell r="M174" t="str">
            <v>AMLUpdate - Name Screening</v>
          </cell>
          <cell r="S174" t="str">
            <v>Tech and Design</v>
          </cell>
          <cell r="AP174" t="str">
            <v>Public Cloud</v>
          </cell>
        </row>
        <row r="175">
          <cell r="B175" t="str">
            <v>Factoring-simuladorWEB</v>
          </cell>
          <cell r="M175" t="str">
            <v>Factoring-simuladorWEB</v>
          </cell>
          <cell r="S175" t="str">
            <v>Vector</v>
          </cell>
          <cell r="AP175" t="str">
            <v>Public Cloud</v>
          </cell>
        </row>
        <row r="176">
          <cell r="B176" t="str">
            <v>Sistema Office Banking - eBanking</v>
          </cell>
          <cell r="M176" t="str">
            <v>Web Transaccional Empresas</v>
          </cell>
          <cell r="S176" t="str">
            <v>NTT Data</v>
          </cell>
          <cell r="AP176" t="str">
            <v>Public Cloud</v>
          </cell>
        </row>
        <row r="177">
          <cell r="B177" t="str">
            <v>Dynatrace</v>
          </cell>
          <cell r="M177" t="str">
            <v>Dynatrace</v>
          </cell>
          <cell r="S177" t="str">
            <v>Dynatrace</v>
          </cell>
          <cell r="AP177" t="str">
            <v>Internal Cloud</v>
          </cell>
        </row>
        <row r="178">
          <cell r="B178" t="str">
            <v>API SURGIR</v>
          </cell>
          <cell r="M178" t="str">
            <v>Middleware Integración – Canales Surgir</v>
          </cell>
          <cell r="S178" t="str">
            <v>Santander Group</v>
          </cell>
          <cell r="AP178" t="str">
            <v>Internal Cloud</v>
          </cell>
        </row>
        <row r="179">
          <cell r="B179" t="str">
            <v>WAF API SURGIR</v>
          </cell>
          <cell r="M179" t="str">
            <v>Middleware Integración – Canales Surgir</v>
          </cell>
          <cell r="S179" t="str">
            <v>Santander Group</v>
          </cell>
          <cell r="AP179" t="str">
            <v>Internal Cloud</v>
          </cell>
        </row>
        <row r="180">
          <cell r="B180" t="str">
            <v>Portal Web Público - WAF</v>
          </cell>
          <cell r="M180" t="str">
            <v>Portal Web Público</v>
          </cell>
          <cell r="S180" t="str">
            <v>MICROSOFT</v>
          </cell>
          <cell r="AP180" t="str">
            <v>Public Cloud</v>
          </cell>
        </row>
        <row r="181">
          <cell r="B181" t="str">
            <v>Cobis - WAF Sistemática</v>
          </cell>
          <cell r="M181" t="str">
            <v>Cobis</v>
          </cell>
          <cell r="S181" t="str">
            <v>Santander Group</v>
          </cell>
          <cell r="AP181" t="str">
            <v>Public Cloud</v>
          </cell>
        </row>
        <row r="182">
          <cell r="B182" t="str">
            <v xml:space="preserve">Data lakehouse corporativo  </v>
          </cell>
          <cell r="M182" t="str">
            <v>Data Lakehouse Corporativo</v>
          </cell>
          <cell r="S182" t="str">
            <v>Santander Global Technology &amp; Operations</v>
          </cell>
          <cell r="AP182" t="str">
            <v>Internal Cloud</v>
          </cell>
        </row>
        <row r="183">
          <cell r="B183" t="str">
            <v>CRISIS RECOVERY PLAN</v>
          </cell>
          <cell r="M183" t="str">
            <v>Crisis Recovery Plan</v>
          </cell>
          <cell r="S183" t="str">
            <v>Santander Global Technology &amp; Operations</v>
          </cell>
          <cell r="AP183" t="str">
            <v>Internal Cloud</v>
          </cell>
        </row>
        <row r="184">
          <cell r="B184" t="str">
            <v>CRISIS RECOVERY PLAN</v>
          </cell>
          <cell r="M184" t="str">
            <v>Crisis Recovery Plan</v>
          </cell>
          <cell r="S184" t="str">
            <v>Santander Global Technologies</v>
          </cell>
          <cell r="AP184" t="str">
            <v>Internal Cloud</v>
          </cell>
        </row>
        <row r="185">
          <cell r="B185" t="str">
            <v>SUPRA CLOUD - CRISIS RECOVERY PLAN</v>
          </cell>
          <cell r="M185" t="str">
            <v>Crisis Recovery Plan</v>
          </cell>
          <cell r="S185" t="str">
            <v>Santander Global Technology &amp; Operations</v>
          </cell>
          <cell r="AP185" t="str">
            <v>Public Cloud</v>
          </cell>
        </row>
        <row r="186">
          <cell r="B186" t="str">
            <v>CALCULADORA RORAC SIMULADOR</v>
          </cell>
          <cell r="M186" t="str">
            <v xml:space="preserve">Calculadora RORAC </v>
          </cell>
          <cell r="S186" t="str">
            <v>Santander Digital Services</v>
          </cell>
          <cell r="AP186" t="str">
            <v>Internal Cloud</v>
          </cell>
        </row>
        <row r="187">
          <cell r="B187" t="str">
            <v>Sucave EUC</v>
          </cell>
          <cell r="M187" t="str">
            <v>SUCAVE</v>
          </cell>
          <cell r="S187" t="str">
            <v>Third Party</v>
          </cell>
          <cell r="AP187" t="str">
            <v>External</v>
          </cell>
        </row>
        <row r="188">
          <cell r="B188" t="str">
            <v>Seguridad Aplicaciones</v>
          </cell>
          <cell r="M188" t="str">
            <v>Seguridad Aplicaciones</v>
          </cell>
          <cell r="S188" t="str">
            <v>Vector</v>
          </cell>
          <cell r="AP188" t="str">
            <v>On Premises</v>
          </cell>
        </row>
        <row r="189">
          <cell r="B189" t="str">
            <v>Vinculados</v>
          </cell>
          <cell r="M189" t="str">
            <v>Vinculados</v>
          </cell>
          <cell r="S189" t="str">
            <v>Vector</v>
          </cell>
          <cell r="AP189" t="str">
            <v>On Premises</v>
          </cell>
        </row>
        <row r="190">
          <cell r="B190" t="str">
            <v>Cruce De Listas</v>
          </cell>
          <cell r="M190" t="str">
            <v>Cruce Listas Web</v>
          </cell>
          <cell r="S190" t="str">
            <v>Vector</v>
          </cell>
          <cell r="AP190" t="str">
            <v>On Premises</v>
          </cell>
        </row>
        <row r="191">
          <cell r="B191" t="str">
            <v>Conciliacion Bancaria</v>
          </cell>
          <cell r="M191" t="str">
            <v>Conciliación Bancaria</v>
          </cell>
          <cell r="S191" t="str">
            <v>Vector</v>
          </cell>
          <cell r="AP191" t="str">
            <v>On Premises</v>
          </cell>
        </row>
        <row r="192">
          <cell r="B192" t="str">
            <v>Factura Negociable</v>
          </cell>
          <cell r="M192" t="str">
            <v>Intranet Factura Negociable</v>
          </cell>
          <cell r="S192" t="str">
            <v>Vector</v>
          </cell>
          <cell r="AP192" t="str">
            <v>On Premises</v>
          </cell>
        </row>
        <row r="193">
          <cell r="B193" t="str">
            <v>Rating Plus</v>
          </cell>
          <cell r="M193" t="str">
            <v>Rating Plus</v>
          </cell>
          <cell r="S193" t="str">
            <v>Vector</v>
          </cell>
          <cell r="AP193" t="str">
            <v>On Premises</v>
          </cell>
        </row>
        <row r="194">
          <cell r="B194" t="str">
            <v>Lista Negativa</v>
          </cell>
          <cell r="M194" t="str">
            <v>Lista Negativa</v>
          </cell>
          <cell r="S194" t="str">
            <v>Vector</v>
          </cell>
          <cell r="AP194" t="str">
            <v>On Premises</v>
          </cell>
        </row>
        <row r="195">
          <cell r="B195" t="str">
            <v>Datatec</v>
          </cell>
          <cell r="M195" t="str">
            <v>DATATECC</v>
          </cell>
          <cell r="S195" t="str">
            <v>Vector</v>
          </cell>
          <cell r="AP195" t="str">
            <v>On Premises</v>
          </cell>
        </row>
        <row r="196">
          <cell r="B196" t="str">
            <v xml:space="preserve">Proyecto datatec </v>
          </cell>
          <cell r="M196" t="str">
            <v>DATATEC</v>
          </cell>
          <cell r="S196" t="str">
            <v>Vector</v>
          </cell>
          <cell r="AP196" t="str">
            <v>On Premises</v>
          </cell>
        </row>
        <row r="197">
          <cell r="B197" t="str">
            <v>Qlikview - SP</v>
          </cell>
          <cell r="M197" t="str">
            <v>Qlikview</v>
          </cell>
          <cell r="S197" t="str">
            <v>Vector</v>
          </cell>
          <cell r="AP197" t="str">
            <v>On Premises</v>
          </cell>
        </row>
        <row r="198">
          <cell r="B198" t="str">
            <v>Qlik Sense - SP</v>
          </cell>
          <cell r="M198" t="str">
            <v xml:space="preserve">Qlik Sense </v>
          </cell>
          <cell r="S198" t="str">
            <v>Vector</v>
          </cell>
          <cell r="AP198" t="str">
            <v>On Premises</v>
          </cell>
        </row>
        <row r="199">
          <cell r="B199" t="str">
            <v>GDS Modellica - SP</v>
          </cell>
          <cell r="M199" t="str">
            <v>GDS Modellica</v>
          </cell>
          <cell r="S199" t="str">
            <v>Vector</v>
          </cell>
          <cell r="AP199" t="str">
            <v>Internal Cloud</v>
          </cell>
        </row>
        <row r="200">
          <cell r="B200" t="str">
            <v>Facturas Negociables - SP</v>
          </cell>
          <cell r="M200" t="str">
            <v>Facturas Negociables</v>
          </cell>
          <cell r="S200" t="str">
            <v>Vector</v>
          </cell>
          <cell r="AP200" t="str">
            <v>On Premises</v>
          </cell>
        </row>
        <row r="201">
          <cell r="B201" t="str">
            <v>Mercury</v>
          </cell>
          <cell r="M201" t="str">
            <v>Mercury</v>
          </cell>
          <cell r="S201" t="str">
            <v>Santander Global Technology &amp; Operations</v>
          </cell>
          <cell r="AP201" t="str">
            <v>Internal Cloud</v>
          </cell>
        </row>
        <row r="202">
          <cell r="B202" t="str">
            <v>RPA Riesgos</v>
          </cell>
          <cell r="M202" t="str">
            <v>RPA Riesgos</v>
          </cell>
          <cell r="S202" t="str">
            <v>Vector</v>
          </cell>
          <cell r="AP202" t="str">
            <v>On Premises</v>
          </cell>
        </row>
        <row r="203">
          <cell r="B203" t="str">
            <v>RPA Operaciones SWIFT -1</v>
          </cell>
          <cell r="M203" t="str">
            <v>RPA Operaciones SWIFT</v>
          </cell>
          <cell r="S203" t="str">
            <v>zagitas</v>
          </cell>
          <cell r="AP203" t="str">
            <v>On Premises</v>
          </cell>
        </row>
        <row r="204">
          <cell r="B204" t="str">
            <v>RPA Operaciones SWIFT - 2</v>
          </cell>
          <cell r="M204" t="str">
            <v>RPA Operaciones SWIFT</v>
          </cell>
          <cell r="S204" t="str">
            <v>zagitas</v>
          </cell>
          <cell r="AP204" t="str">
            <v>On Premises</v>
          </cell>
        </row>
        <row r="205">
          <cell r="B205" t="str">
            <v>RPA Operaciones SWIFT -3</v>
          </cell>
          <cell r="M205" t="str">
            <v>RPA Operaciones SWIFT</v>
          </cell>
          <cell r="S205" t="str">
            <v>zagitas</v>
          </cell>
          <cell r="AP205" t="str">
            <v>On Premises</v>
          </cell>
        </row>
        <row r="206">
          <cell r="B206" t="str">
            <v>Retenciones SUNAT</v>
          </cell>
          <cell r="M206" t="str">
            <v>Retenciones SUNAT</v>
          </cell>
          <cell r="S206" t="str">
            <v>Vector</v>
          </cell>
          <cell r="AP206" t="str">
            <v>On Premises</v>
          </cell>
        </row>
        <row r="207">
          <cell r="B207" t="str">
            <v>Web Pago Interno</v>
          </cell>
          <cell r="M207" t="str">
            <v>Web Pago Interno</v>
          </cell>
          <cell r="S207" t="str">
            <v>Vector</v>
          </cell>
          <cell r="AP207" t="str">
            <v>On Premises</v>
          </cell>
        </row>
        <row r="208">
          <cell r="B208" t="str">
            <v>LBTR Novatronic</v>
          </cell>
          <cell r="M208" t="str">
            <v>LBTR Novatronic</v>
          </cell>
          <cell r="S208" t="str">
            <v>Vector</v>
          </cell>
          <cell r="AP208" t="str">
            <v>On Premises</v>
          </cell>
        </row>
        <row r="209">
          <cell r="B209" t="str">
            <v>Green Dashboard</v>
          </cell>
          <cell r="M209" t="str">
            <v>Green Dashboard</v>
          </cell>
          <cell r="S209" t="str">
            <v>Vector</v>
          </cell>
          <cell r="AP209" t="str">
            <v>On Premises</v>
          </cell>
        </row>
        <row r="210">
          <cell r="B210" t="str">
            <v>Web Onboarding</v>
          </cell>
          <cell r="M210" t="str">
            <v>Web Onboarding</v>
          </cell>
          <cell r="S210" t="str">
            <v>Vector</v>
          </cell>
          <cell r="AP210" t="str">
            <v>On Premises</v>
          </cell>
        </row>
        <row r="211">
          <cell r="B211" t="str">
            <v>Hiperfirmas</v>
          </cell>
          <cell r="M211" t="str">
            <v>Hiperfirmas</v>
          </cell>
          <cell r="S211" t="str">
            <v>Vector</v>
          </cell>
          <cell r="AP211" t="str">
            <v>On Premises</v>
          </cell>
        </row>
        <row r="212">
          <cell r="B212" t="str">
            <v>App Santander FX</v>
          </cell>
          <cell r="M212" t="str">
            <v>App Santander FX</v>
          </cell>
          <cell r="S212" t="str">
            <v>Vector</v>
          </cell>
          <cell r="AP212" t="str">
            <v>On Premises</v>
          </cell>
        </row>
        <row r="213">
          <cell r="B213" t="str">
            <v>Loan Tape</v>
          </cell>
          <cell r="M213" t="str">
            <v>Loan Tape</v>
          </cell>
          <cell r="S213" t="str">
            <v>Vector</v>
          </cell>
          <cell r="AP213" t="str">
            <v>On Premises</v>
          </cell>
        </row>
        <row r="214">
          <cell r="B214" t="str">
            <v>Dashboards Analytics</v>
          </cell>
          <cell r="M214" t="str">
            <v>Dashboards Analytics</v>
          </cell>
          <cell r="S214" t="str">
            <v>Vector</v>
          </cell>
          <cell r="AP214" t="str">
            <v>On Premises</v>
          </cell>
        </row>
        <row r="215">
          <cell r="B215" t="str">
            <v>Monitor Plus (ETL)</v>
          </cell>
          <cell r="M215" t="str">
            <v>Monitor Plus (ETL) - Transaction Monitorig</v>
          </cell>
          <cell r="S215" t="str">
            <v>Vector</v>
          </cell>
          <cell r="AP215" t="str">
            <v>On Premises</v>
          </cell>
        </row>
        <row r="216">
          <cell r="B216" t="str">
            <v>EFESO R&amp;C</v>
          </cell>
          <cell r="M216" t="str">
            <v>EFESO  R&amp;C</v>
          </cell>
          <cell r="S216" t="str">
            <v>Santander Digital Services</v>
          </cell>
          <cell r="AP216" t="str">
            <v>External</v>
          </cell>
        </row>
        <row r="217">
          <cell r="B217" t="str">
            <v>SUPRA - X FRONTIER EXPLOTACION</v>
          </cell>
          <cell r="M217" t="str">
            <v>SUPRA XFRONTIER</v>
          </cell>
          <cell r="S217" t="str">
            <v>Santander Digital Services</v>
          </cell>
          <cell r="AP217" t="str">
            <v>External</v>
          </cell>
        </row>
        <row r="218">
          <cell r="B218" t="str">
            <v>EFESO</v>
          </cell>
          <cell r="M218" t="str">
            <v>Efeso</v>
          </cell>
          <cell r="S218" t="str">
            <v>Santander Digital Services</v>
          </cell>
          <cell r="AP218" t="str">
            <v>External</v>
          </cell>
        </row>
        <row r="219">
          <cell r="B219" t="str">
            <v>Supra - X Frontier</v>
          </cell>
          <cell r="M219" t="str">
            <v>Supra - X Frontier</v>
          </cell>
          <cell r="S219" t="str">
            <v>Santander Digital Services</v>
          </cell>
          <cell r="AP219" t="str">
            <v>External</v>
          </cell>
        </row>
        <row r="220">
          <cell r="B220" t="str">
            <v>SUPRA CLOUD - X FRONTIER</v>
          </cell>
          <cell r="M220" t="str">
            <v>SUPRA XFRONTIER</v>
          </cell>
          <cell r="S220" t="str">
            <v>Santander Global Technology &amp; Operations</v>
          </cell>
          <cell r="AP220" t="str">
            <v>Public Cloud</v>
          </cell>
        </row>
        <row r="221">
          <cell r="B221" t="str">
            <v>Calypso STC</v>
          </cell>
          <cell r="M221" t="str">
            <v>Calypso STC</v>
          </cell>
          <cell r="S221" t="str">
            <v>Calypso Technologies</v>
          </cell>
          <cell r="AP221" t="str">
            <v>Hybrid</v>
          </cell>
        </row>
        <row r="222">
          <cell r="B222" t="str">
            <v>Factoring Data Lake Leads</v>
          </cell>
          <cell r="M222" t="str">
            <v>Factoring Data Lake Leads</v>
          </cell>
          <cell r="S222" t="str">
            <v>LOGICALIS SPAIN SLU</v>
          </cell>
          <cell r="AP222" t="str">
            <v>Internal Cloud</v>
          </cell>
        </row>
        <row r="223">
          <cell r="B223" t="str">
            <v>Azure (SDH)</v>
          </cell>
          <cell r="M223" t="str">
            <v>Azure (SDH)</v>
          </cell>
          <cell r="S223" t="str">
            <v>Santander Global Technologies</v>
          </cell>
          <cell r="AP223" t="str">
            <v>Without Data</v>
          </cell>
        </row>
        <row r="224">
          <cell r="B224" t="str">
            <v>Avamar</v>
          </cell>
          <cell r="M224" t="str">
            <v>Avamar</v>
          </cell>
          <cell r="S224" t="str">
            <v>Santander Digital Services</v>
          </cell>
          <cell r="AP224" t="str">
            <v>Hybrid</v>
          </cell>
        </row>
        <row r="225">
          <cell r="B225" t="str">
            <v>Astara/SK Berge APIS DMZ</v>
          </cell>
          <cell r="M225" t="str">
            <v>Astara/SK Berge APIS DMZ</v>
          </cell>
          <cell r="S225" t="str">
            <v>Vector</v>
          </cell>
          <cell r="AP225" t="str">
            <v>On Premises</v>
          </cell>
        </row>
        <row r="226">
          <cell r="B226" t="str">
            <v>Astara/SK Berge SFTP DMZ</v>
          </cell>
          <cell r="M226" t="str">
            <v>Astara/SK Berge SFTP DMZ</v>
          </cell>
          <cell r="S226" t="str">
            <v>Vector</v>
          </cell>
          <cell r="AP226" t="str">
            <v>On Premises</v>
          </cell>
        </row>
        <row r="227">
          <cell r="B227" t="str">
            <v>Banbif DMZ</v>
          </cell>
          <cell r="M227" t="str">
            <v>Banbif DMZ</v>
          </cell>
          <cell r="S227" t="str">
            <v>Vector</v>
          </cell>
          <cell r="AP227" t="str">
            <v>On Premises</v>
          </cell>
        </row>
        <row r="228">
          <cell r="B228" t="str">
            <v>Qualiz DMZ</v>
          </cell>
          <cell r="M228" t="str">
            <v>Qualiz DMZ</v>
          </cell>
          <cell r="S228" t="str">
            <v>Santander Global Banking (GBM)</v>
          </cell>
          <cell r="AP228" t="str">
            <v>Internal Cloud</v>
          </cell>
        </row>
        <row r="229">
          <cell r="B229" t="str">
            <v>SUPRA CLOUD - BACKSTOP</v>
          </cell>
          <cell r="M229" t="str">
            <v>Azure (SDH)</v>
          </cell>
          <cell r="S229" t="str">
            <v>Santander Global Technology &amp; Operations</v>
          </cell>
          <cell r="AP229" t="str">
            <v>Public Cloud</v>
          </cell>
        </row>
        <row r="230">
          <cell r="B230" t="str">
            <v>SUPRA CLOUD - BENCHMARKING</v>
          </cell>
          <cell r="M230" t="str">
            <v>Azure (SDH)</v>
          </cell>
          <cell r="S230" t="str">
            <v>Santander Global Technology &amp; Operations</v>
          </cell>
          <cell r="AP230" t="str">
            <v>Public Cloud</v>
          </cell>
        </row>
        <row r="231">
          <cell r="B231" t="str">
            <v>SUPRA CLOUD - MAC</v>
          </cell>
          <cell r="M231" t="str">
            <v>Azure (SDH)</v>
          </cell>
          <cell r="S231" t="str">
            <v>Santander Global Technology &amp; Operations</v>
          </cell>
          <cell r="AP231" t="str">
            <v>Public Cloud</v>
          </cell>
        </row>
        <row r="232">
          <cell r="B232" t="str">
            <v>SDH - MOTOR UNICO</v>
          </cell>
          <cell r="M232" t="str">
            <v>Azure (SDH)</v>
          </cell>
          <cell r="S232" t="str">
            <v>MICROSOFT</v>
          </cell>
          <cell r="AP232" t="str">
            <v>Public Cloud</v>
          </cell>
        </row>
        <row r="233">
          <cell r="B233" t="str">
            <v>SDH - MOTOR NEW DEFAULT</v>
          </cell>
          <cell r="M233" t="str">
            <v>Azure (SDH)</v>
          </cell>
          <cell r="S233" t="str">
            <v>MICROSOFT</v>
          </cell>
          <cell r="AP233" t="str">
            <v>Public Cloud</v>
          </cell>
        </row>
        <row r="234">
          <cell r="B234" t="str">
            <v>SDH - BDR</v>
          </cell>
          <cell r="M234" t="str">
            <v>Azure (SDH)</v>
          </cell>
          <cell r="S234" t="str">
            <v>MICROSOFT</v>
          </cell>
          <cell r="AP234" t="str">
            <v>Public Cloud</v>
          </cell>
        </row>
        <row r="235">
          <cell r="B235" t="str">
            <v>Onboarding</v>
          </cell>
          <cell r="M235" t="str">
            <v>Onboarding</v>
          </cell>
          <cell r="S235" t="str">
            <v>Tech and Design</v>
          </cell>
          <cell r="AP235" t="str">
            <v>Public Cloud</v>
          </cell>
        </row>
        <row r="236">
          <cell r="B236" t="str">
            <v>RPA Blue Prism</v>
          </cell>
          <cell r="M236" t="str">
            <v>RPA Blue Prism</v>
          </cell>
          <cell r="S236" t="str">
            <v>Tech and Design</v>
          </cell>
          <cell r="AP236" t="str">
            <v>On Premises</v>
          </cell>
        </row>
        <row r="237">
          <cell r="B237" t="str">
            <v>Plataforma de Apis</v>
          </cell>
          <cell r="M237" t="str">
            <v>Plataforma de APIs - Helios</v>
          </cell>
          <cell r="S237" t="str">
            <v>Tech and Design</v>
          </cell>
          <cell r="AP237" t="str">
            <v>Private Cloud "Single Tenant"</v>
          </cell>
        </row>
        <row r="238">
          <cell r="B238" t="str">
            <v>SUPRA - CAPITAL MIS REGULATORIO</v>
          </cell>
          <cell r="M238" t="str">
            <v>Azure (SDH)</v>
          </cell>
          <cell r="S238" t="str">
            <v>Santander Global Technologies</v>
          </cell>
          <cell r="AP238" t="str">
            <v>Internal Cloud</v>
          </cell>
        </row>
        <row r="239">
          <cell r="B239" t="str">
            <v>Plataforma de Core Bantotal - Helios</v>
          </cell>
          <cell r="M239" t="str">
            <v>Plataforma de Core Bantotal - Helios</v>
          </cell>
          <cell r="S239" t="str">
            <v>Tech and Design</v>
          </cell>
          <cell r="AP239" t="str">
            <v>On Premises Users</v>
          </cell>
        </row>
        <row r="240">
          <cell r="B240" t="str">
            <v>ForexClear LCH Activity Report</v>
          </cell>
          <cell r="M240" t="str">
            <v>Calypso STC</v>
          </cell>
          <cell r="S240" t="str">
            <v>Santander Digital Services</v>
          </cell>
          <cell r="AP240" t="str">
            <v>Hybrid</v>
          </cell>
        </row>
        <row r="241">
          <cell r="B241" t="str">
            <v>REPORTING REPUTACIONAL</v>
          </cell>
          <cell r="M241" t="str">
            <v>REPORTING REPUTACIONAL</v>
          </cell>
          <cell r="S241" t="str">
            <v>Santander Global Technology &amp; Operations</v>
          </cell>
          <cell r="AP241" t="str">
            <v>Internal Cloud</v>
          </cell>
        </row>
        <row r="242">
          <cell r="B242" t="str">
            <v>Sucave</v>
          </cell>
          <cell r="M242" t="str">
            <v>SUCAVE</v>
          </cell>
          <cell r="S242" t="str">
            <v>Third Party</v>
          </cell>
          <cell r="AP242" t="str">
            <v>External</v>
          </cell>
        </row>
        <row r="243">
          <cell r="B243" t="str">
            <v>prueba</v>
          </cell>
          <cell r="M243" t="str">
            <v>Plataforma de Core Bantotal - Helios</v>
          </cell>
          <cell r="S243" t="str">
            <v>CISCO</v>
          </cell>
          <cell r="AP243" t="str">
            <v>Hybrid</v>
          </cell>
        </row>
        <row r="244">
          <cell r="B244" t="str">
            <v>Agregador de Pagos - Helios</v>
          </cell>
          <cell r="M244" t="str">
            <v>Plataforma de Payments - Helios</v>
          </cell>
          <cell r="S244" t="str">
            <v>Tech and Design</v>
          </cell>
          <cell r="AP244" t="str">
            <v>On Premises Users</v>
          </cell>
        </row>
        <row r="245">
          <cell r="B245" t="str">
            <v>Switch Transaccional - Helios</v>
          </cell>
          <cell r="M245" t="str">
            <v>Plataforma de Switch Transaccional - Helios</v>
          </cell>
          <cell r="S245" t="str">
            <v>Tech and Design</v>
          </cell>
          <cell r="AP245" t="str">
            <v>On Premises Users</v>
          </cell>
        </row>
        <row r="246">
          <cell r="B246" t="str">
            <v>Dominio de Riesgos</v>
          </cell>
          <cell r="M246" t="str">
            <v>Plataforma de Datos</v>
          </cell>
          <cell r="S246" t="str">
            <v>Tech and Design</v>
          </cell>
          <cell r="AP246" t="str">
            <v>Public Cloud</v>
          </cell>
        </row>
        <row r="247">
          <cell r="B247" t="str">
            <v>Aplicacion de cobranza</v>
          </cell>
          <cell r="M247" t="str">
            <v>Plataforma de cobranzas</v>
          </cell>
          <cell r="S247" t="str">
            <v>Equifax</v>
          </cell>
          <cell r="AP247" t="str">
            <v>On Premises</v>
          </cell>
        </row>
        <row r="248">
          <cell r="B248" t="str">
            <v>Procesamiento de datos de cobranza</v>
          </cell>
          <cell r="M248" t="str">
            <v>Plataforma de cobranzas</v>
          </cell>
          <cell r="S248" t="str">
            <v>Tech and Design</v>
          </cell>
          <cell r="AP248" t="str">
            <v>Internal Cloud</v>
          </cell>
        </row>
        <row r="249">
          <cell r="B249" t="str">
            <v>Plat. Aplicaciones Soporte - Helios</v>
          </cell>
          <cell r="M249" t="str">
            <v>Plat. Aplicaciones Soporte - Helios</v>
          </cell>
          <cell r="S249" t="str">
            <v>Tech and Design</v>
          </cell>
          <cell r="AP249" t="str">
            <v>Public Cloud</v>
          </cell>
        </row>
        <row r="250">
          <cell r="B250" t="str">
            <v>Plat. Aplicaciones Soporte - Helios</v>
          </cell>
          <cell r="M250" t="str">
            <v>Plat. Aplicaciones Soporte - Helios</v>
          </cell>
          <cell r="S250" t="str">
            <v>Tech and Design</v>
          </cell>
          <cell r="AP250" t="str">
            <v>Public Cloud</v>
          </cell>
        </row>
        <row r="251">
          <cell r="B251" t="str">
            <v>Plataforma de Apis</v>
          </cell>
          <cell r="M251" t="str">
            <v>Plataforma de APIs - Helios</v>
          </cell>
          <cell r="S251" t="str">
            <v>Tech and Design</v>
          </cell>
          <cell r="AP251" t="str">
            <v>Private Cloud "Single Tenant"</v>
          </cell>
        </row>
        <row r="252">
          <cell r="B252" t="str">
            <v>Pataforma de Datos</v>
          </cell>
          <cell r="M252" t="str">
            <v>Plataforma de Datos</v>
          </cell>
          <cell r="S252" t="str">
            <v>Tech and Design</v>
          </cell>
          <cell r="AP252" t="str">
            <v>Public Cloud</v>
          </cell>
        </row>
        <row r="253">
          <cell r="B253" t="str">
            <v>SCBP   Switch Transaccional - Helios</v>
          </cell>
          <cell r="M253" t="str">
            <v>SCBP Plataforma de Switch Transaccional - Helios</v>
          </cell>
          <cell r="S253" t="str">
            <v>Tech and Design</v>
          </cell>
          <cell r="AP253" t="str">
            <v>On Premises Users</v>
          </cell>
        </row>
        <row r="254">
          <cell r="B254" t="str">
            <v>SCBP Agregador de Pagos - Helios</v>
          </cell>
          <cell r="M254" t="str">
            <v>SCBP Plataforma de Payments - Helios</v>
          </cell>
          <cell r="S254" t="str">
            <v>Tech and Design</v>
          </cell>
          <cell r="AP254" t="str">
            <v>On Premises Users</v>
          </cell>
        </row>
        <row r="255">
          <cell r="B255" t="str">
            <v>Middleware Lynx</v>
          </cell>
          <cell r="M255" t="str">
            <v>Middleware Lynx</v>
          </cell>
          <cell r="S255" t="str">
            <v>NTT Data</v>
          </cell>
          <cell r="AP255" t="str">
            <v>Private Cloud "Single Tenant"</v>
          </cell>
        </row>
        <row r="256">
          <cell r="B256" t="str">
            <v>SCBP Procesamiento de datos de cobranza</v>
          </cell>
          <cell r="M256" t="str">
            <v>SCBP Plataforma de cobranzas</v>
          </cell>
          <cell r="S256" t="str">
            <v>Tech and Design</v>
          </cell>
          <cell r="AP256" t="str">
            <v>Internal Cloud</v>
          </cell>
        </row>
        <row r="257">
          <cell r="B257" t="str">
            <v>SCBP Aplicacion de cobranza</v>
          </cell>
          <cell r="M257" t="str">
            <v>SCBP Plataforma de cobranzas</v>
          </cell>
          <cell r="S257" t="str">
            <v>Equifax</v>
          </cell>
          <cell r="AP257" t="str">
            <v>On Premises</v>
          </cell>
        </row>
        <row r="258">
          <cell r="B258" t="str">
            <v>SCBP Plataforma de Core Bantotal - Helios</v>
          </cell>
          <cell r="M258" t="str">
            <v>SCBP Plataforma de Core Bantotal - Helios</v>
          </cell>
          <cell r="S258" t="str">
            <v>Tech and Design</v>
          </cell>
          <cell r="AP258" t="str">
            <v>On Premises Users</v>
          </cell>
        </row>
        <row r="259">
          <cell r="B259" t="str">
            <v>Soporte Riesgos</v>
          </cell>
          <cell r="M259" t="str">
            <v>Plat. Aplicaciones Soporte - Helios</v>
          </cell>
          <cell r="S259" t="str">
            <v>Tech and Design</v>
          </cell>
          <cell r="AP259" t="str">
            <v>Public Cloud</v>
          </cell>
        </row>
        <row r="260">
          <cell r="B260" t="str">
            <v xml:space="preserve">APPIAN  internos </v>
          </cell>
          <cell r="M260" t="str">
            <v>Plat. Procesos - Helios</v>
          </cell>
          <cell r="S260" t="str">
            <v>Tech and Design</v>
          </cell>
          <cell r="AP260" t="str">
            <v>Public Cloud</v>
          </cell>
        </row>
        <row r="261">
          <cell r="B261" t="str">
            <v>Gestor Documental</v>
          </cell>
          <cell r="M261" t="str">
            <v>Plat. Procesos - Helios</v>
          </cell>
          <cell r="S261" t="str">
            <v>Tech and Design</v>
          </cell>
          <cell r="AP261" t="str">
            <v>Public Cloud</v>
          </cell>
        </row>
        <row r="262">
          <cell r="B262" t="str">
            <v>Soporte Local</v>
          </cell>
          <cell r="M262" t="str">
            <v>Gluon</v>
          </cell>
          <cell r="S262" t="str">
            <v>Santander Global Banking (GBM)</v>
          </cell>
          <cell r="AP262" t="str">
            <v>On Premises Users</v>
          </cell>
        </row>
        <row r="263">
          <cell r="B263" t="str">
            <v>SUPRA CLOUD - EXPLOTACIÓN RIESGO OPERACIONAL</v>
          </cell>
          <cell r="M263" t="str">
            <v>SUPRA CLOUD - EXPLOTACIÓN RIESGO OPERACIONAL</v>
          </cell>
          <cell r="S263" t="str">
            <v>Santander Global Technology &amp; Operations</v>
          </cell>
          <cell r="AP263" t="str">
            <v>Public Cloud</v>
          </cell>
        </row>
        <row r="264">
          <cell r="B264" t="str">
            <v>Global SCIB Vimeo Enterprise</v>
          </cell>
          <cell r="M264" t="str">
            <v>Global SCIB Vimeo Enterprise</v>
          </cell>
          <cell r="S264" t="str">
            <v>VIMEO</v>
          </cell>
          <cell r="AP264" t="str">
            <v>External</v>
          </cell>
        </row>
        <row r="265">
          <cell r="B265" t="str">
            <v>FE-BatchEnvioCPE Pre</v>
          </cell>
          <cell r="M265" t="str">
            <v>FE-BatchEnvioCPE Pre</v>
          </cell>
          <cell r="S265" t="str">
            <v>SANTANDER</v>
          </cell>
          <cell r="AP265" t="str">
            <v>On Premises</v>
          </cell>
        </row>
        <row r="266">
          <cell r="B266" t="str">
            <v>FE-BatchRespuestaCPE PRE</v>
          </cell>
          <cell r="M266" t="str">
            <v>FE-BatchRespuestaCPE PRE</v>
          </cell>
          <cell r="S266" t="str">
            <v>SANTANDER</v>
          </cell>
          <cell r="AP266" t="str">
            <v>On Premises</v>
          </cell>
        </row>
        <row r="267">
          <cell r="B267" t="str">
            <v>FE-FrontEnd PRE</v>
          </cell>
          <cell r="M267" t="str">
            <v>FE-FrontEnd PRE</v>
          </cell>
          <cell r="S267" t="str">
            <v>SANTANDER</v>
          </cell>
          <cell r="AP267" t="str">
            <v>On Premises</v>
          </cell>
        </row>
        <row r="268">
          <cell r="B268" t="str">
            <v>Visor Cobranzas PRe</v>
          </cell>
          <cell r="M268" t="str">
            <v>Visor Cobranzas Pre</v>
          </cell>
          <cell r="S268" t="str">
            <v>SANTANDER</v>
          </cell>
          <cell r="AP268" t="str">
            <v>On Premises</v>
          </cell>
        </row>
        <row r="269">
          <cell r="B269" t="str">
            <v>Batch Gesintel Pre</v>
          </cell>
          <cell r="M269" t="str">
            <v>Batch Gesintel Pre</v>
          </cell>
          <cell r="S269" t="str">
            <v>SANTANDER</v>
          </cell>
          <cell r="AP269" t="str">
            <v>On Premises</v>
          </cell>
        </row>
        <row r="270">
          <cell r="B270" t="str">
            <v>NuevaWebConsumer Pre</v>
          </cell>
          <cell r="M270" t="str">
            <v>NuevaWebConsumer Pre</v>
          </cell>
          <cell r="S270" t="str">
            <v>SANTANDER</v>
          </cell>
          <cell r="AP270" t="str">
            <v>Public Cloud</v>
          </cell>
        </row>
        <row r="271">
          <cell r="B271" t="str">
            <v>SEIR Pre</v>
          </cell>
          <cell r="M271" t="str">
            <v>SEIR Pre</v>
          </cell>
          <cell r="S271" t="str">
            <v>SANTANDER</v>
          </cell>
          <cell r="AP271" t="str">
            <v>Public Cloud</v>
          </cell>
        </row>
        <row r="272">
          <cell r="B272" t="str">
            <v>Factoring-WebFuerzaVentas DEV</v>
          </cell>
          <cell r="M272" t="str">
            <v>Factoring-FuerzaVentas</v>
          </cell>
          <cell r="S272" t="str">
            <v>LOGICALIS SPAIN SLU</v>
          </cell>
          <cell r="AP272" t="str">
            <v>Public Cloud</v>
          </cell>
        </row>
        <row r="273">
          <cell r="B273" t="str">
            <v>Agencias (Venta Activa)</v>
          </cell>
          <cell r="M273" t="str">
            <v>Canales Asistidos</v>
          </cell>
          <cell r="S273" t="str">
            <v>Tech and Design</v>
          </cell>
          <cell r="AP273" t="str">
            <v>Public Cloud</v>
          </cell>
        </row>
        <row r="274">
          <cell r="B274" t="str">
            <v>Global SCIB Vimeo Enterprise</v>
          </cell>
          <cell r="M274" t="str">
            <v>Global SCIB Vimeo Enterprise</v>
          </cell>
          <cell r="S274" t="str">
            <v>VIMEO</v>
          </cell>
          <cell r="AP274" t="str">
            <v>External</v>
          </cell>
        </row>
        <row r="275">
          <cell r="B275" t="str">
            <v>Active Directory</v>
          </cell>
          <cell r="M275" t="str">
            <v>Active Directory Peru</v>
          </cell>
          <cell r="S275" t="str">
            <v>Santander Global Technologies</v>
          </cell>
          <cell r="AP275" t="str">
            <v>Private Cloud "Single Tenant"</v>
          </cell>
        </row>
        <row r="276">
          <cell r="B276" t="str">
            <v>Santi QA</v>
          </cell>
          <cell r="M276" t="str">
            <v>Santi</v>
          </cell>
          <cell r="S276" t="str">
            <v>Tech and Design</v>
          </cell>
          <cell r="AP276" t="str">
            <v>External</v>
          </cell>
        </row>
        <row r="277">
          <cell r="B277" t="str">
            <v>Santi DEV</v>
          </cell>
          <cell r="M277" t="str">
            <v>Santi</v>
          </cell>
          <cell r="S277" t="str">
            <v>Tech and Design</v>
          </cell>
          <cell r="AP277" t="str">
            <v>External</v>
          </cell>
        </row>
        <row r="278">
          <cell r="B278" t="str">
            <v>LYNX pre</v>
          </cell>
          <cell r="M278" t="str">
            <v>Lynx</v>
          </cell>
          <cell r="S278" t="str">
            <v>Santander Digital Services</v>
          </cell>
          <cell r="AP278" t="str">
            <v>External</v>
          </cell>
        </row>
        <row r="279">
          <cell r="B279" t="str">
            <v>Lynx</v>
          </cell>
          <cell r="M279" t="str">
            <v>Lynx</v>
          </cell>
          <cell r="S279" t="str">
            <v>Santander Digital Services</v>
          </cell>
          <cell r="AP279" t="str">
            <v>External</v>
          </cell>
        </row>
        <row r="280">
          <cell r="B280" t="str">
            <v>Lynx dev</v>
          </cell>
          <cell r="M280" t="str">
            <v>Lynx</v>
          </cell>
          <cell r="S280" t="str">
            <v>Santander Digital Services</v>
          </cell>
          <cell r="AP280" t="str">
            <v>External</v>
          </cell>
        </row>
        <row r="281">
          <cell r="B281" t="str">
            <v>Jira</v>
          </cell>
          <cell r="M281" t="str">
            <v>Jira</v>
          </cell>
          <cell r="S281" t="str">
            <v>JIRA</v>
          </cell>
          <cell r="AP281" t="str">
            <v>Internal Cloud</v>
          </cell>
        </row>
        <row r="282">
          <cell r="B282" t="str">
            <v>Plataforma Core Bantotal - Helios</v>
          </cell>
          <cell r="M282" t="str">
            <v>Plataforma de Core Bantotal - Helios</v>
          </cell>
          <cell r="S282" t="str">
            <v>Tech and Design</v>
          </cell>
          <cell r="AP282" t="str">
            <v>On Premises Users</v>
          </cell>
        </row>
        <row r="283">
          <cell r="B283" t="str">
            <v>APP MOVIL ANDROID</v>
          </cell>
          <cell r="M283" t="str">
            <v>APP MOVIL ANDROID</v>
          </cell>
          <cell r="S283" t="str">
            <v>Tech &amp; Design</v>
          </cell>
          <cell r="AP283" t="str">
            <v>Public Cloud</v>
          </cell>
        </row>
        <row r="284">
          <cell r="B284" t="str">
            <v>Webs proceso onboarding</v>
          </cell>
          <cell r="M284" t="str">
            <v>Webs proceso onboarding</v>
          </cell>
          <cell r="S284" t="str">
            <v>VASS</v>
          </cell>
          <cell r="AP284" t="str">
            <v>Public Cloud</v>
          </cell>
        </row>
        <row r="285">
          <cell r="B285" t="str">
            <v>Contact Center</v>
          </cell>
          <cell r="M285" t="str">
            <v>Canales Asistidos</v>
          </cell>
          <cell r="S285" t="str">
            <v>Tech and Design</v>
          </cell>
          <cell r="AP285" t="str">
            <v>Public Cloud</v>
          </cell>
        </row>
        <row r="286">
          <cell r="B286" t="str">
            <v>Actualización Datos</v>
          </cell>
          <cell r="M286" t="str">
            <v>Canales Asistidos</v>
          </cell>
          <cell r="S286" t="str">
            <v>Tech and Design</v>
          </cell>
          <cell r="AP286" t="str">
            <v>Public Cloud</v>
          </cell>
        </row>
        <row r="287">
          <cell r="B287" t="str">
            <v>XTraLínea</v>
          </cell>
          <cell r="M287" t="str">
            <v>Canales Asistidos</v>
          </cell>
          <cell r="S287" t="str">
            <v>Tech and Design</v>
          </cell>
          <cell r="AP287" t="str">
            <v>Public Cloud</v>
          </cell>
        </row>
        <row r="288">
          <cell r="B288" t="str">
            <v>Prestamo Personal</v>
          </cell>
          <cell r="M288" t="str">
            <v>Canales Asistidos</v>
          </cell>
          <cell r="S288" t="str">
            <v>Tech and Design</v>
          </cell>
          <cell r="AP288" t="str">
            <v>Public Cloud</v>
          </cell>
        </row>
        <row r="289">
          <cell r="B289" t="str">
            <v>Prestamo Hipotecario</v>
          </cell>
          <cell r="M289" t="str">
            <v>Canales Asistidos</v>
          </cell>
          <cell r="S289" t="str">
            <v>Tech and Design</v>
          </cell>
          <cell r="AP289" t="str">
            <v>Public Cloud</v>
          </cell>
        </row>
        <row r="290">
          <cell r="B290" t="str">
            <v>Global TPA</v>
          </cell>
          <cell r="M290" t="str">
            <v>Plat. Aplicaciones Soporte - Helios</v>
          </cell>
          <cell r="S290" t="str">
            <v>Tech and Design</v>
          </cell>
          <cell r="AP290" t="str">
            <v>Public Cloud</v>
          </cell>
        </row>
        <row r="291">
          <cell r="B291" t="str">
            <v>Oracle Screening</v>
          </cell>
          <cell r="M291" t="str">
            <v>Plat. Aplicaciones Soporte - Helios</v>
          </cell>
          <cell r="S291" t="str">
            <v>Tech and Design</v>
          </cell>
          <cell r="AP291" t="str">
            <v>Public Cloud</v>
          </cell>
        </row>
        <row r="292">
          <cell r="B292" t="str">
            <v>Adryan Web</v>
          </cell>
          <cell r="M292" t="str">
            <v>Plat. Aplicaciones Soporte - Helios</v>
          </cell>
          <cell r="S292" t="str">
            <v>Tech and Design</v>
          </cell>
          <cell r="AP292" t="str">
            <v>Public Cloud</v>
          </cell>
        </row>
        <row r="293">
          <cell r="B293" t="str">
            <v>Sara</v>
          </cell>
          <cell r="M293" t="str">
            <v>Plat. Aplicaciones Soporte - Helios</v>
          </cell>
          <cell r="S293" t="str">
            <v>Tech and Design</v>
          </cell>
          <cell r="AP293" t="str">
            <v>Public Cloud</v>
          </cell>
        </row>
        <row r="294">
          <cell r="B294" t="str">
            <v>Sara New</v>
          </cell>
          <cell r="M294" t="str">
            <v>Plat. Aplicaciones Soporte - Helios</v>
          </cell>
          <cell r="S294" t="str">
            <v>Tech and Design</v>
          </cell>
          <cell r="AP294" t="str">
            <v>Public Cloud</v>
          </cell>
        </row>
        <row r="295">
          <cell r="B295" t="str">
            <v>SAP BPC</v>
          </cell>
          <cell r="M295" t="str">
            <v>Plat. Aplicaciones Soporte - Helios</v>
          </cell>
          <cell r="S295" t="str">
            <v>Tech and Design</v>
          </cell>
          <cell r="AP295" t="str">
            <v>Public Cloud</v>
          </cell>
        </row>
        <row r="296">
          <cell r="B296" t="str">
            <v>SAP by Design</v>
          </cell>
          <cell r="M296" t="str">
            <v>Plat. Aplicaciones Soporte - Helios</v>
          </cell>
          <cell r="S296" t="str">
            <v>Tech and Design</v>
          </cell>
          <cell r="AP296" t="str">
            <v>Public Cloud</v>
          </cell>
        </row>
        <row r="297">
          <cell r="B297" t="str">
            <v>Mirai</v>
          </cell>
          <cell r="M297" t="str">
            <v>Plat. Aplicaciones Soporte - Helios</v>
          </cell>
          <cell r="S297" t="str">
            <v>Tech and Design</v>
          </cell>
          <cell r="AP297" t="str">
            <v>Public Cloud</v>
          </cell>
        </row>
        <row r="298">
          <cell r="B298" t="str">
            <v>Simpla</v>
          </cell>
          <cell r="M298" t="str">
            <v>Plat. Aplicaciones Soporte - Helios</v>
          </cell>
          <cell r="S298" t="str">
            <v>Tech and Design</v>
          </cell>
          <cell r="AP298" t="str">
            <v>Public Cloud</v>
          </cell>
        </row>
        <row r="299">
          <cell r="B299" t="str">
            <v>Verum</v>
          </cell>
          <cell r="M299" t="str">
            <v>Plat. Aplicaciones Soporte - Helios</v>
          </cell>
          <cell r="S299" t="str">
            <v>Tech and Design</v>
          </cell>
          <cell r="AP299" t="str">
            <v>Public Cloud</v>
          </cell>
        </row>
        <row r="300">
          <cell r="B300" t="str">
            <v>Alexandria</v>
          </cell>
          <cell r="M300" t="str">
            <v>Plat. Aplicaciones Soporte - Helios</v>
          </cell>
          <cell r="S300" t="str">
            <v>Tech and Design</v>
          </cell>
          <cell r="AP300" t="str">
            <v>Public Cloud</v>
          </cell>
        </row>
        <row r="301">
          <cell r="B301" t="str">
            <v>Heracles</v>
          </cell>
          <cell r="M301" t="str">
            <v>Heracles</v>
          </cell>
          <cell r="S301" t="str">
            <v>Tech and Design</v>
          </cell>
          <cell r="AP301" t="str">
            <v>Public Cloud</v>
          </cell>
        </row>
        <row r="302">
          <cell r="B302" t="str">
            <v>Arka</v>
          </cell>
          <cell r="M302" t="str">
            <v>Plat. Aplicaciones Soporte - Helios</v>
          </cell>
          <cell r="S302" t="str">
            <v>Tech and Design</v>
          </cell>
          <cell r="AP302" t="str">
            <v>Public Cloud</v>
          </cell>
        </row>
        <row r="303">
          <cell r="B303" t="str">
            <v>Aries</v>
          </cell>
          <cell r="M303" t="str">
            <v>Plat. Aplicaciones Soporte - Helios</v>
          </cell>
          <cell r="S303" t="str">
            <v>Tech and Design</v>
          </cell>
          <cell r="AP303" t="str">
            <v>Public Cloud</v>
          </cell>
        </row>
        <row r="304">
          <cell r="B304" t="str">
            <v>KLIMA - RIESGO CLIMÁTICO (CRÉDITO)</v>
          </cell>
          <cell r="M304" t="str">
            <v>Klima - Credit Risk</v>
          </cell>
          <cell r="S304" t="str">
            <v>Santander Global Technologies</v>
          </cell>
          <cell r="AP304" t="str">
            <v>Internal Cloud</v>
          </cell>
        </row>
        <row r="305">
          <cell r="B305" t="str">
            <v>SUPRA CLOUD - RIESGO CLIMÁTICO (CRÉDITO)</v>
          </cell>
          <cell r="M305" t="str">
            <v>Klima - Credit Risk</v>
          </cell>
          <cell r="S305" t="str">
            <v>Santander Global Technology &amp; Operations</v>
          </cell>
          <cell r="AP305" t="str">
            <v>Public Cloud</v>
          </cell>
        </row>
        <row r="306">
          <cell r="B306" t="str">
            <v>Excepciones Operativas</v>
          </cell>
          <cell r="M306" t="str">
            <v>Excepciones Operativas</v>
          </cell>
          <cell r="S306" t="str">
            <v>SANTANDER</v>
          </cell>
          <cell r="AP306" t="str">
            <v>Internal Cloud</v>
          </cell>
        </row>
        <row r="307">
          <cell r="B307" t="str">
            <v>Data lakehouse SFP</v>
          </cell>
          <cell r="M307" t="str">
            <v>Data lakehouse SFP</v>
          </cell>
          <cell r="S307" t="str">
            <v>Santander Global Technology &amp; Operations</v>
          </cell>
          <cell r="AP307" t="str">
            <v>Internal Cloud</v>
          </cell>
        </row>
        <row r="308">
          <cell r="B308" t="str">
            <v>Autopilot</v>
          </cell>
          <cell r="M308" t="str">
            <v>Autopilot</v>
          </cell>
          <cell r="S308" t="str">
            <v>Santander Global Technologies</v>
          </cell>
          <cell r="AP308" t="str">
            <v>Internal Cloud</v>
          </cell>
        </row>
        <row r="309">
          <cell r="B309" t="str">
            <v>InTune Autopilot</v>
          </cell>
          <cell r="M309" t="str">
            <v>InTune</v>
          </cell>
          <cell r="S309" t="str">
            <v>Santander Global Technologies</v>
          </cell>
          <cell r="AP309" t="str">
            <v>Internal Cloud</v>
          </cell>
        </row>
        <row r="310">
          <cell r="B310" t="str">
            <v>Cuenta de Ahorros</v>
          </cell>
          <cell r="M310" t="str">
            <v>Canales Asistidos</v>
          </cell>
          <cell r="S310" t="str">
            <v>Tech and Design</v>
          </cell>
          <cell r="AP310" t="str">
            <v>Public Cloud</v>
          </cell>
        </row>
        <row r="311">
          <cell r="B311" t="str">
            <v>Prestamo Personal</v>
          </cell>
          <cell r="M311" t="str">
            <v>Canales Asistidos</v>
          </cell>
          <cell r="S311" t="str">
            <v>Tech and Design</v>
          </cell>
          <cell r="AP311" t="str">
            <v>Public Cloud</v>
          </cell>
        </row>
        <row r="312">
          <cell r="B312" t="str">
            <v>Tarjeta de Credito</v>
          </cell>
          <cell r="M312" t="str">
            <v>Canales Asistidos</v>
          </cell>
          <cell r="S312" t="str">
            <v>Tech and Design</v>
          </cell>
          <cell r="AP312" t="str">
            <v>Public Cloud</v>
          </cell>
        </row>
        <row r="313">
          <cell r="B313" t="str">
            <v>Depósito a Plazo Fijo</v>
          </cell>
          <cell r="M313" t="str">
            <v>Canales Asistidos</v>
          </cell>
          <cell r="S313" t="str">
            <v>Tech and Design</v>
          </cell>
          <cell r="AP313" t="str">
            <v>Public Cloud</v>
          </cell>
        </row>
        <row r="314">
          <cell r="B314" t="str">
            <v>Préstamo Hipotecario</v>
          </cell>
          <cell r="M314" t="str">
            <v>Canales Asistidos</v>
          </cell>
          <cell r="S314" t="str">
            <v>Tech and Design</v>
          </cell>
          <cell r="AP314" t="str">
            <v>Public Cloud</v>
          </cell>
        </row>
        <row r="315">
          <cell r="B315" t="str">
            <v>WEBPUB</v>
          </cell>
          <cell r="M315" t="str">
            <v>WEB PÚBLICA</v>
          </cell>
          <cell r="S315" t="str">
            <v>Consumer Peru</v>
          </cell>
          <cell r="AP315" t="str">
            <v>Public Cloud</v>
          </cell>
        </row>
        <row r="316">
          <cell r="B316" t="str">
            <v>Diloo</v>
          </cell>
          <cell r="M316" t="str">
            <v>Diloo</v>
          </cell>
          <cell r="S316" t="str">
            <v>Externo</v>
          </cell>
          <cell r="AP316" t="str">
            <v>External</v>
          </cell>
        </row>
        <row r="317">
          <cell r="B317" t="str">
            <v>Masterbase</v>
          </cell>
          <cell r="M317" t="str">
            <v>Diloo</v>
          </cell>
          <cell r="S317" t="str">
            <v>Externo</v>
          </cell>
          <cell r="AP317" t="str">
            <v>External</v>
          </cell>
        </row>
        <row r="318">
          <cell r="B318" t="str">
            <v>Avamar - CPSS Peru</v>
          </cell>
          <cell r="M318" t="str">
            <v>Avamar</v>
          </cell>
          <cell r="S318" t="str">
            <v>Santander Digital Services</v>
          </cell>
          <cell r="AP318" t="str">
            <v>Hybrid</v>
          </cell>
        </row>
        <row r="319">
          <cell r="B319" t="str">
            <v>CARMEN 360</v>
          </cell>
          <cell r="M319" t="str">
            <v>Mercurio</v>
          </cell>
          <cell r="S319" t="str">
            <v>Santander Digital Services</v>
          </cell>
          <cell r="AP319" t="str">
            <v>Hybrid</v>
          </cell>
        </row>
        <row r="320">
          <cell r="B320" t="str">
            <v>MHM - MULTINATIONALS HIERARCHY MANAGEMENT</v>
          </cell>
          <cell r="M320" t="str">
            <v>MULTINATIONALS HIERARCHY MANAGEMENT</v>
          </cell>
          <cell r="S320" t="str">
            <v>Santander Digital Services</v>
          </cell>
          <cell r="AP320" t="str">
            <v>Internal Cloud</v>
          </cell>
        </row>
        <row r="321">
          <cell r="B321" t="str">
            <v>Genesys Cloud</v>
          </cell>
          <cell r="M321" t="str">
            <v>Genesys Cloud</v>
          </cell>
          <cell r="S321" t="str">
            <v>Tech and Design</v>
          </cell>
          <cell r="AP321" t="str">
            <v>External</v>
          </cell>
        </row>
        <row r="322">
          <cell r="B322" t="str">
            <v>CRM Litess</v>
          </cell>
          <cell r="M322" t="str">
            <v>Excepciones Operativas</v>
          </cell>
          <cell r="S322" t="str">
            <v>SANTANDER</v>
          </cell>
          <cell r="AP322" t="str">
            <v>On Premises</v>
          </cell>
        </row>
        <row r="323">
          <cell r="B323" t="str">
            <v>AudiX</v>
          </cell>
          <cell r="M323" t="str">
            <v>Audix</v>
          </cell>
          <cell r="S323" t="str">
            <v>MICROSOFT</v>
          </cell>
          <cell r="AP323" t="str">
            <v>External</v>
          </cell>
        </row>
        <row r="324">
          <cell r="B324" t="str">
            <v>[VAREJO] Clodoaldo - PDA_carimba_mov_lancado</v>
          </cell>
          <cell r="M324" t="str">
            <v>DOJO</v>
          </cell>
          <cell r="S324" t="str">
            <v>SANTANDER</v>
          </cell>
          <cell r="AP324" t="str">
            <v>On Premises Users</v>
          </cell>
        </row>
        <row r="325">
          <cell r="B325" t="str">
            <v>[VAREJO] Clodoaldo - Tangiveis - MPW0496S</v>
          </cell>
          <cell r="M325" t="str">
            <v>DOJO 2.0</v>
          </cell>
          <cell r="S325" t="str">
            <v>SANTANDER</v>
          </cell>
          <cell r="AP325" t="str">
            <v>On Premises Users</v>
          </cell>
        </row>
        <row r="326">
          <cell r="B326" t="str">
            <v>App cliente</v>
          </cell>
          <cell r="M326" t="str">
            <v>App Cliente</v>
          </cell>
          <cell r="S326" t="str">
            <v>MICROSOFT</v>
          </cell>
          <cell r="AP326" t="str">
            <v>Public Cloud</v>
          </cell>
        </row>
        <row r="327">
          <cell r="B327" t="str">
            <v>Capa Integración</v>
          </cell>
          <cell r="M327" t="str">
            <v>Capa Integración</v>
          </cell>
          <cell r="S327" t="str">
            <v>MICROSOFT</v>
          </cell>
          <cell r="AP327" t="str">
            <v>Public Cloud</v>
          </cell>
        </row>
        <row r="328">
          <cell r="B328" t="str">
            <v>Capa Backend</v>
          </cell>
          <cell r="M328" t="str">
            <v>Capa Backend</v>
          </cell>
          <cell r="S328" t="str">
            <v>MICROSOFT</v>
          </cell>
          <cell r="AP328" t="str">
            <v>Public Cloud</v>
          </cell>
        </row>
        <row r="329">
          <cell r="B329" t="str">
            <v>Gestión Portafolio PMO</v>
          </cell>
          <cell r="M329" t="str">
            <v>Gestión Portafolio PMO</v>
          </cell>
          <cell r="S329" t="str">
            <v>MICROSOFT</v>
          </cell>
          <cell r="AP329" t="str">
            <v>Public Cloud</v>
          </cell>
        </row>
        <row r="330">
          <cell r="B330" t="str">
            <v>UDF - One Reporting</v>
          </cell>
          <cell r="M330" t="str">
            <v>Data Lakehouse</v>
          </cell>
          <cell r="S330" t="str">
            <v>MICROSOFT</v>
          </cell>
          <cell r="AP330" t="str">
            <v>Internal Cloud</v>
          </cell>
        </row>
        <row r="331">
          <cell r="B331" t="str">
            <v>Data lakehouse SFP</v>
          </cell>
          <cell r="M331" t="str">
            <v>Data lakehouse BSP-</v>
          </cell>
          <cell r="S331" t="str">
            <v>Santander Global Technology &amp; Operations</v>
          </cell>
          <cell r="AP331" t="str">
            <v>Internal Cloud</v>
          </cell>
        </row>
        <row r="332">
          <cell r="B332" t="str">
            <v>Concesiones</v>
          </cell>
          <cell r="M332" t="str">
            <v xml:space="preserve">Concesiones y Ventas </v>
          </cell>
          <cell r="S332" t="str">
            <v>Tech and Design</v>
          </cell>
          <cell r="AP332" t="str">
            <v>Public Cloud</v>
          </cell>
        </row>
        <row r="333">
          <cell r="B333" t="str">
            <v>Alexandria SCB</v>
          </cell>
          <cell r="M333" t="str">
            <v>Alexandria</v>
          </cell>
          <cell r="S333" t="str">
            <v>Tech &amp; Design</v>
          </cell>
          <cell r="AP333" t="str">
            <v>Public Cloud</v>
          </cell>
        </row>
        <row r="334">
          <cell r="B334" t="str">
            <v>Arka SCB</v>
          </cell>
          <cell r="M334" t="str">
            <v>Arka</v>
          </cell>
          <cell r="S334" t="str">
            <v>Tech and Design</v>
          </cell>
          <cell r="AP334" t="str">
            <v>Public Cloud</v>
          </cell>
        </row>
        <row r="335">
          <cell r="B335" t="str">
            <v>Global TPA  SCB</v>
          </cell>
          <cell r="M335" t="str">
            <v xml:space="preserve">Global TPA </v>
          </cell>
          <cell r="S335" t="str">
            <v>Tech and Design</v>
          </cell>
          <cell r="AP335" t="str">
            <v>Public Cloud</v>
          </cell>
        </row>
        <row r="336">
          <cell r="B336" t="str">
            <v>Mirai SCB</v>
          </cell>
          <cell r="M336" t="str">
            <v>Mirai</v>
          </cell>
          <cell r="S336" t="str">
            <v>Tech and Design</v>
          </cell>
          <cell r="AP336" t="str">
            <v>Public Cloud</v>
          </cell>
        </row>
        <row r="337">
          <cell r="B337" t="str">
            <v>Modellica SCB</v>
          </cell>
          <cell r="M337" t="str">
            <v>Modellica</v>
          </cell>
          <cell r="S337" t="str">
            <v>Tech and Design</v>
          </cell>
          <cell r="AP337" t="str">
            <v>Public Cloud</v>
          </cell>
        </row>
        <row r="338">
          <cell r="B338" t="str">
            <v>Sara SCB</v>
          </cell>
          <cell r="M338" t="str">
            <v>Sara</v>
          </cell>
          <cell r="S338" t="str">
            <v>Tech and Design</v>
          </cell>
          <cell r="AP338" t="str">
            <v>Public Cloud</v>
          </cell>
        </row>
        <row r="339">
          <cell r="B339" t="str">
            <v>Simpla SCB</v>
          </cell>
          <cell r="M339" t="str">
            <v>Simpla</v>
          </cell>
          <cell r="S339" t="str">
            <v>Tech and Design</v>
          </cell>
          <cell r="AP339" t="str">
            <v>Public Cloud</v>
          </cell>
        </row>
        <row r="340">
          <cell r="B340" t="str">
            <v>Spring SCB</v>
          </cell>
          <cell r="M340" t="str">
            <v>Spring</v>
          </cell>
          <cell r="S340" t="str">
            <v>Tech and Design</v>
          </cell>
          <cell r="AP340" t="str">
            <v>Public Cloud</v>
          </cell>
        </row>
        <row r="341">
          <cell r="B341" t="str">
            <v>Toledo SCB</v>
          </cell>
          <cell r="M341" t="str">
            <v>Toledo</v>
          </cell>
          <cell r="S341" t="str">
            <v>Tech and Design</v>
          </cell>
          <cell r="AP341" t="str">
            <v>Public Cloud</v>
          </cell>
        </row>
        <row r="342">
          <cell r="B342" t="str">
            <v>Verum SCB</v>
          </cell>
          <cell r="M342" t="str">
            <v>Verum</v>
          </cell>
          <cell r="S342" t="str">
            <v>Tech and Design</v>
          </cell>
          <cell r="AP342" t="str">
            <v>Public Cloud</v>
          </cell>
        </row>
        <row r="343">
          <cell r="B343" t="str">
            <v>Adryan SCB</v>
          </cell>
          <cell r="M343" t="str">
            <v>Adryan</v>
          </cell>
          <cell r="S343" t="str">
            <v>Tech and Design</v>
          </cell>
          <cell r="AP343" t="str">
            <v>Public Cloud</v>
          </cell>
        </row>
        <row r="344">
          <cell r="B344" t="str">
            <v>Aries SCB</v>
          </cell>
          <cell r="M344" t="str">
            <v>Aries</v>
          </cell>
          <cell r="S344" t="str">
            <v>Tech and Design</v>
          </cell>
          <cell r="AP344" t="str">
            <v>Private Cloud "Single Tenant"</v>
          </cell>
        </row>
        <row r="345">
          <cell r="B345" t="str">
            <v>Kyc SCB</v>
          </cell>
          <cell r="M345" t="str">
            <v>Kyc</v>
          </cell>
          <cell r="S345" t="str">
            <v>Tech and Design</v>
          </cell>
          <cell r="AP345" t="str">
            <v>Public Cloud</v>
          </cell>
        </row>
        <row r="346">
          <cell r="B346" t="str">
            <v>Monitor plus SCB</v>
          </cell>
          <cell r="M346" t="str">
            <v>Monitor Plus ACRM -  Transaction Monitorig</v>
          </cell>
          <cell r="S346" t="str">
            <v>Tech and Design</v>
          </cell>
          <cell r="AP346" t="str">
            <v>Without Data</v>
          </cell>
        </row>
        <row r="347">
          <cell r="B347" t="str">
            <v>Oracle Screening SCB</v>
          </cell>
          <cell r="M347" t="str">
            <v>Oracle Screening</v>
          </cell>
          <cell r="S347" t="str">
            <v>Tech and Design</v>
          </cell>
          <cell r="AP347" t="str">
            <v>On Premises</v>
          </cell>
        </row>
        <row r="348">
          <cell r="B348" t="str">
            <v>Zytrust SCB</v>
          </cell>
          <cell r="M348" t="str">
            <v>Zytrust</v>
          </cell>
          <cell r="S348" t="str">
            <v>Tech and Design</v>
          </cell>
          <cell r="AP348" t="str">
            <v>Public Cloud</v>
          </cell>
        </row>
        <row r="349">
          <cell r="B349" t="str">
            <v xml:space="preserve">Lake House </v>
          </cell>
          <cell r="M349" t="str">
            <v xml:space="preserve">Lake House </v>
          </cell>
          <cell r="S349" t="str">
            <v>SANTANDER</v>
          </cell>
          <cell r="AP349" t="str">
            <v>Internal Cloud</v>
          </cell>
        </row>
        <row r="350">
          <cell r="B350" t="str">
            <v>Reniec</v>
          </cell>
          <cell r="M350" t="str">
            <v>Reniec</v>
          </cell>
          <cell r="S350" t="str">
            <v>Tech and Design</v>
          </cell>
          <cell r="AP350" t="str">
            <v>External</v>
          </cell>
        </row>
        <row r="351">
          <cell r="B351" t="str">
            <v>AppSIRH -</v>
          </cell>
          <cell r="M351" t="str">
            <v>AppSIRH</v>
          </cell>
          <cell r="S351" t="str">
            <v>Tech and Design</v>
          </cell>
          <cell r="AP351" t="str">
            <v>External</v>
          </cell>
        </row>
        <row r="352">
          <cell r="B352" t="str">
            <v>Urban Coder Deploy</v>
          </cell>
          <cell r="M352" t="str">
            <v>Urban Code Deploy</v>
          </cell>
          <cell r="S352" t="str">
            <v>IBM</v>
          </cell>
          <cell r="AP352" t="str">
            <v>Internal Cloud</v>
          </cell>
        </row>
        <row r="353">
          <cell r="B353" t="str">
            <v>Batch Emision</v>
          </cell>
          <cell r="M353" t="str">
            <v>FE - Batch Emision</v>
          </cell>
          <cell r="S353" t="str">
            <v>Tech and Design</v>
          </cell>
          <cell r="AP353" t="str">
            <v>External</v>
          </cell>
        </row>
        <row r="354">
          <cell r="B354" t="str">
            <v>Batch Recepcion</v>
          </cell>
          <cell r="M354" t="str">
            <v>FE - Batch Recepcion</v>
          </cell>
          <cell r="S354" t="str">
            <v>Tech and Design</v>
          </cell>
          <cell r="AP354" t="str">
            <v>External</v>
          </cell>
        </row>
        <row r="355">
          <cell r="B355" t="str">
            <v>Active Directory Unificado</v>
          </cell>
          <cell r="M355" t="str">
            <v>Active Directory Unificado</v>
          </cell>
          <cell r="S355" t="str">
            <v>MICROSOFT</v>
          </cell>
          <cell r="AP355" t="str">
            <v>On Premises</v>
          </cell>
        </row>
        <row r="356">
          <cell r="B356" t="str">
            <v>CyberArk</v>
          </cell>
          <cell r="M356" t="str">
            <v>CyberArk</v>
          </cell>
          <cell r="S356" t="str">
            <v>Palo Alto Networks</v>
          </cell>
          <cell r="AP356" t="str">
            <v>External</v>
          </cell>
        </row>
        <row r="357">
          <cell r="B357" t="str">
            <v>Plataforma de Facturación Electrónica - Batch Recaudadoras</v>
          </cell>
          <cell r="M357" t="str">
            <v>Plataforma de Facturacion Electronica</v>
          </cell>
          <cell r="S357" t="str">
            <v>MICROSOFT</v>
          </cell>
          <cell r="AP357" t="str">
            <v>Internal Cloud</v>
          </cell>
        </row>
        <row r="358">
          <cell r="B358" t="str">
            <v>Contactanos</v>
          </cell>
          <cell r="M358" t="str">
            <v>Contáctanos</v>
          </cell>
          <cell r="S358" t="str">
            <v>MICROSOFT</v>
          </cell>
          <cell r="AP358" t="str">
            <v>Internal Cloud</v>
          </cell>
        </row>
        <row r="359">
          <cell r="B359" t="str">
            <v>Ticketera de Reclamos</v>
          </cell>
          <cell r="M359" t="str">
            <v>Ticketera de Reclamos</v>
          </cell>
          <cell r="S359" t="str">
            <v>MICROSOFT</v>
          </cell>
          <cell r="AP359" t="str">
            <v>Internal Cloud</v>
          </cell>
        </row>
        <row r="360">
          <cell r="B360" t="str">
            <v>SUCAVE</v>
          </cell>
          <cell r="M360" t="str">
            <v>SUCAVE</v>
          </cell>
          <cell r="S360" t="str">
            <v>MICROSOFT</v>
          </cell>
          <cell r="AP360" t="str">
            <v>External</v>
          </cell>
        </row>
        <row r="361">
          <cell r="B361" t="str">
            <v>Sentinel</v>
          </cell>
          <cell r="M361" t="str">
            <v>Sentinel</v>
          </cell>
          <cell r="S361" t="str">
            <v>Experian</v>
          </cell>
          <cell r="AP361" t="str">
            <v>Private Cloud "Single Tenant"</v>
          </cell>
        </row>
        <row r="362">
          <cell r="B362" t="str">
            <v>App Surgir</v>
          </cell>
          <cell r="M362" t="str">
            <v>App Surgir</v>
          </cell>
          <cell r="S362" t="str">
            <v>Third Party</v>
          </cell>
          <cell r="AP362" t="str">
            <v>Private Cloud "Single Tenant"</v>
          </cell>
        </row>
        <row r="363">
          <cell r="B363" t="str">
            <v>Tarjeta Santander SKY Plus - NexHub</v>
          </cell>
          <cell r="M363" t="str">
            <v>Tarjeta Santander SKY Plus</v>
          </cell>
          <cell r="S363" t="str">
            <v>VASS</v>
          </cell>
          <cell r="AP363" t="str">
            <v>Public Cloud</v>
          </cell>
        </row>
        <row r="364">
          <cell r="B364" t="str">
            <v>Data Lakehouse  - BSP</v>
          </cell>
          <cell r="M364" t="str">
            <v>Data Lakehouse</v>
          </cell>
          <cell r="S364" t="str">
            <v>Santander Global Technology &amp; Operations</v>
          </cell>
          <cell r="AP364" t="str">
            <v>Internal Cloud</v>
          </cell>
        </row>
        <row r="365">
          <cell r="B365" t="str">
            <v xml:space="preserve">Monitor Plus </v>
          </cell>
          <cell r="M365" t="str">
            <v>Monitor Plus ACRM -  Transaction Monitorig</v>
          </cell>
          <cell r="S365" t="str">
            <v>Plus Technologies &amp; Innovations</v>
          </cell>
          <cell r="AP365" t="str">
            <v>External</v>
          </cell>
        </row>
        <row r="366">
          <cell r="B366" t="str">
            <v>Data Analytics</v>
          </cell>
          <cell r="M366" t="str">
            <v>Data Analytics</v>
          </cell>
          <cell r="S366" t="str">
            <v>SANTANDER</v>
          </cell>
          <cell r="AP366" t="str">
            <v>On Premises</v>
          </cell>
        </row>
        <row r="367">
          <cell r="B367" t="str">
            <v xml:space="preserve">Quicksight - SCB </v>
          </cell>
          <cell r="M367" t="str">
            <v xml:space="preserve">Quicksight </v>
          </cell>
          <cell r="S367" t="str">
            <v>Tech and Design</v>
          </cell>
          <cell r="AP367" t="str">
            <v>Public Cloud</v>
          </cell>
        </row>
        <row r="368">
          <cell r="B368" t="str">
            <v>Portal Web Público</v>
          </cell>
          <cell r="M368" t="str">
            <v>Portal Web Público</v>
          </cell>
          <cell r="S368" t="str">
            <v>Corporate Technologies</v>
          </cell>
          <cell r="AP368" t="str">
            <v>Internal Cloud</v>
          </cell>
        </row>
        <row r="369">
          <cell r="B369" t="str">
            <v>Quadrant</v>
          </cell>
          <cell r="M369" t="str">
            <v>Quadrant</v>
          </cell>
          <cell r="S369" t="str">
            <v>Quadrant</v>
          </cell>
          <cell r="AP369" t="str">
            <v>External</v>
          </cell>
        </row>
        <row r="370">
          <cell r="B370" t="str">
            <v>SAP by Design</v>
          </cell>
          <cell r="M370" t="str">
            <v>SAP by Design</v>
          </cell>
          <cell r="S370" t="str">
            <v>SAP</v>
          </cell>
          <cell r="AP370" t="str">
            <v>External</v>
          </cell>
        </row>
        <row r="371">
          <cell r="B371" t="str">
            <v>Dojo</v>
          </cell>
          <cell r="M371" t="str">
            <v>DOJO</v>
          </cell>
          <cell r="S371" t="str">
            <v>CornerStone</v>
          </cell>
          <cell r="AP371" t="str">
            <v>External</v>
          </cell>
        </row>
        <row r="372">
          <cell r="B372" t="str">
            <v xml:space="preserve">Rundeck MAP </v>
          </cell>
          <cell r="M372" t="str">
            <v>Rundeck MAP</v>
          </cell>
          <cell r="S372" t="str">
            <v>Cautiva Technology</v>
          </cell>
          <cell r="AP372" t="str">
            <v>On Premises</v>
          </cell>
        </row>
        <row r="373">
          <cell r="B373" t="str">
            <v>Facephi</v>
          </cell>
          <cell r="M373" t="str">
            <v>Santo</v>
          </cell>
          <cell r="S373" t="str">
            <v>FacePhi</v>
          </cell>
          <cell r="AP373" t="str">
            <v>External</v>
          </cell>
        </row>
        <row r="374">
          <cell r="B374" t="str">
            <v>Tracklink</v>
          </cell>
          <cell r="M374" t="str">
            <v>Santo</v>
          </cell>
          <cell r="S374" t="str">
            <v>Motork</v>
          </cell>
          <cell r="AP374" t="str">
            <v>External</v>
          </cell>
        </row>
        <row r="375">
          <cell r="B375" t="str">
            <v>Escon</v>
          </cell>
          <cell r="M375" t="str">
            <v>Santo</v>
          </cell>
          <cell r="S375" t="str">
            <v>Tech and Design</v>
          </cell>
          <cell r="AP375" t="str">
            <v>External</v>
          </cell>
        </row>
        <row r="376">
          <cell r="B376" t="str">
            <v>Mapfre</v>
          </cell>
          <cell r="M376" t="str">
            <v>Santo</v>
          </cell>
          <cell r="S376" t="str">
            <v>Mapfre</v>
          </cell>
          <cell r="AP376" t="str">
            <v>External</v>
          </cell>
        </row>
        <row r="377">
          <cell r="B377" t="str">
            <v>IBK - Recaudación</v>
          </cell>
          <cell r="M377" t="str">
            <v>Santo</v>
          </cell>
          <cell r="S377" t="str">
            <v>Tech and Design</v>
          </cell>
          <cell r="AP377" t="str">
            <v>External</v>
          </cell>
        </row>
        <row r="378">
          <cell r="B378" t="str">
            <v>Emblue</v>
          </cell>
          <cell r="M378" t="str">
            <v>Santo</v>
          </cell>
          <cell r="S378" t="str">
            <v>Tech and Design</v>
          </cell>
          <cell r="AP378" t="str">
            <v>External</v>
          </cell>
        </row>
        <row r="379">
          <cell r="B379" t="str">
            <v>IBR</v>
          </cell>
          <cell r="M379" t="str">
            <v>Santo</v>
          </cell>
          <cell r="S379" t="str">
            <v>Tech and Design</v>
          </cell>
          <cell r="AP379" t="str">
            <v>External</v>
          </cell>
        </row>
        <row r="380">
          <cell r="B380" t="str">
            <v>BBVA - Recaudación</v>
          </cell>
          <cell r="M380" t="str">
            <v>Santo</v>
          </cell>
          <cell r="S380" t="str">
            <v>Tech and Design</v>
          </cell>
          <cell r="AP380" t="str">
            <v>External</v>
          </cell>
        </row>
        <row r="381">
          <cell r="B381" t="str">
            <v>DocuClass</v>
          </cell>
          <cell r="M381" t="str">
            <v>Santo</v>
          </cell>
          <cell r="S381" t="str">
            <v>Tech and Design</v>
          </cell>
          <cell r="AP381" t="str">
            <v>External</v>
          </cell>
        </row>
        <row r="382">
          <cell r="B382" t="str">
            <v>Izipay</v>
          </cell>
          <cell r="M382" t="str">
            <v>Santo</v>
          </cell>
          <cell r="S382" t="str">
            <v>Tech and Design</v>
          </cell>
          <cell r="AP382" t="str">
            <v>External</v>
          </cell>
        </row>
        <row r="383">
          <cell r="B383" t="str">
            <v>Diloo</v>
          </cell>
          <cell r="M383" t="str">
            <v>Santo</v>
          </cell>
          <cell r="S383" t="str">
            <v>Tech and Design</v>
          </cell>
          <cell r="AP383" t="str">
            <v>External</v>
          </cell>
        </row>
        <row r="384">
          <cell r="B384" t="str">
            <v>Enable</v>
          </cell>
          <cell r="M384" t="str">
            <v>Santo</v>
          </cell>
          <cell r="S384" t="str">
            <v>EnableSoft</v>
          </cell>
          <cell r="AP384" t="str">
            <v>External</v>
          </cell>
        </row>
        <row r="385">
          <cell r="B385" t="str">
            <v>PRTG</v>
          </cell>
          <cell r="M385" t="str">
            <v>Network Monitoring &amp; Management - Peru</v>
          </cell>
          <cell r="S385" t="str">
            <v>Tech and Design</v>
          </cell>
          <cell r="AP385" t="str">
            <v>External</v>
          </cell>
        </row>
        <row r="386">
          <cell r="B386" t="str">
            <v>Firewall - CISCO/ASA</v>
          </cell>
          <cell r="M386" t="str">
            <v>Cybersecurity Monitoring  &amp; Management – Peru</v>
          </cell>
          <cell r="S386" t="str">
            <v>Tech &amp; Design</v>
          </cell>
          <cell r="AP386" t="str">
            <v>External</v>
          </cell>
        </row>
        <row r="387">
          <cell r="B387" t="str">
            <v xml:space="preserve">Intranet Corporativa </v>
          </cell>
          <cell r="M387" t="str">
            <v>Intranet Corporativa</v>
          </cell>
          <cell r="S387" t="str">
            <v>Santander (Produban)</v>
          </cell>
          <cell r="AP387" t="str">
            <v>On Premises</v>
          </cell>
        </row>
        <row r="388">
          <cell r="B388" t="str">
            <v xml:space="preserve">Nazca AS400 - Plataforma Integración </v>
          </cell>
          <cell r="M388" t="str">
            <v>Nazca AS400</v>
          </cell>
          <cell r="S388" t="str">
            <v>NTT Data</v>
          </cell>
          <cell r="AP388" t="str">
            <v>Public Cloud</v>
          </cell>
        </row>
        <row r="389">
          <cell r="B389" t="str">
            <v>MyABCM</v>
          </cell>
          <cell r="M389" t="str">
            <v>MyABCM</v>
          </cell>
          <cell r="S389" t="str">
            <v>Tech and Design</v>
          </cell>
          <cell r="AP389" t="str">
            <v>On Premises Users</v>
          </cell>
        </row>
        <row r="390">
          <cell r="B390" t="str">
            <v>Tarjeta Santander SKY Plus - SFTP batch</v>
          </cell>
          <cell r="M390" t="str">
            <v>Tarjeta Santander SKY Plus</v>
          </cell>
          <cell r="S390" t="str">
            <v>Amazon WebServices</v>
          </cell>
          <cell r="AP390" t="str">
            <v>Public Cloud</v>
          </cell>
        </row>
        <row r="391">
          <cell r="B391" t="str">
            <v>Tarjeta Santander SKY Plus - Integración Pomelo</v>
          </cell>
          <cell r="M391" t="str">
            <v>Tarjeta Santander SKY Plus</v>
          </cell>
          <cell r="S391" t="str">
            <v>Amazon WebServices</v>
          </cell>
          <cell r="AP391" t="str">
            <v>Public Cloud</v>
          </cell>
        </row>
        <row r="392">
          <cell r="B392" t="str">
            <v>Tarjeta Santander SKY Plus - App Movil</v>
          </cell>
          <cell r="M392" t="str">
            <v>Tarjeta Santander SKY Plus</v>
          </cell>
          <cell r="S392" t="str">
            <v>Amazon WebServices</v>
          </cell>
          <cell r="AP392" t="str">
            <v>Public Cloud</v>
          </cell>
        </row>
        <row r="393">
          <cell r="B393" t="str">
            <v>Sevone IBM</v>
          </cell>
          <cell r="M393" t="str">
            <v>Network Monitoring &amp; Management - Peru</v>
          </cell>
          <cell r="S393" t="str">
            <v>IBM</v>
          </cell>
          <cell r="AP393" t="str">
            <v>Internal Cloud</v>
          </cell>
        </row>
        <row r="394">
          <cell r="B394" t="str">
            <v>Mirai - SP</v>
          </cell>
          <cell r="M394" t="str">
            <v>Mirai</v>
          </cell>
          <cell r="S394" t="str">
            <v>Santander Mexico</v>
          </cell>
          <cell r="AP394" t="str">
            <v>Internal Cloud</v>
          </cell>
        </row>
        <row r="395">
          <cell r="B395" t="str">
            <v>Master Base</v>
          </cell>
          <cell r="M395" t="str">
            <v>Masterbase</v>
          </cell>
          <cell r="S395" t="str">
            <v>Externo</v>
          </cell>
          <cell r="AP395" t="str">
            <v>External</v>
          </cell>
        </row>
        <row r="396">
          <cell r="B396" t="str">
            <v>CRM Lite SP</v>
          </cell>
          <cell r="M396" t="str">
            <v>CRM Lite</v>
          </cell>
          <cell r="S396" t="str">
            <v>SANTANDER</v>
          </cell>
          <cell r="AP396" t="str">
            <v>External</v>
          </cell>
        </row>
        <row r="397">
          <cell r="B397" t="str">
            <v>Docu360</v>
          </cell>
          <cell r="M397" t="str">
            <v>Docu360</v>
          </cell>
          <cell r="S397" t="str">
            <v>Tech and Design</v>
          </cell>
          <cell r="AP397" t="str">
            <v>External</v>
          </cell>
        </row>
        <row r="398">
          <cell r="B398" t="str">
            <v>OneFCC</v>
          </cell>
          <cell r="M398" t="str">
            <v>OneFCC</v>
          </cell>
          <cell r="S398" t="str">
            <v>ORACLE</v>
          </cell>
          <cell r="AP398" t="str">
            <v>Public Cloud</v>
          </cell>
        </row>
        <row r="399">
          <cell r="B399" t="str">
            <v>OneFCC - Middleware</v>
          </cell>
          <cell r="M399" t="str">
            <v>OneFCC</v>
          </cell>
          <cell r="S399" t="str">
            <v>ORACLE</v>
          </cell>
          <cell r="AP399" t="str">
            <v>Public Cloud</v>
          </cell>
        </row>
        <row r="400">
          <cell r="B400" t="str">
            <v>Tarjeta Santander SKY Plus - Data</v>
          </cell>
          <cell r="M400" t="str">
            <v>Tarjeta Santander SKY Plus</v>
          </cell>
          <cell r="S400" t="str">
            <v>Amazon WebServices</v>
          </cell>
          <cell r="AP400" t="str">
            <v>Public Cloud</v>
          </cell>
        </row>
        <row r="401">
          <cell r="B401" t="str">
            <v>Fortify</v>
          </cell>
          <cell r="M401" t="str">
            <v>Fortify</v>
          </cell>
          <cell r="S401" t="str">
            <v>Micro Focus International</v>
          </cell>
          <cell r="AP401" t="str">
            <v>External</v>
          </cell>
        </row>
        <row r="402">
          <cell r="B402" t="str">
            <v>ASPERA IBM</v>
          </cell>
          <cell r="M402" t="str">
            <v>ASPERA IBM</v>
          </cell>
          <cell r="S402" t="str">
            <v>IBM</v>
          </cell>
          <cell r="AP402" t="str">
            <v>On Premises</v>
          </cell>
        </row>
        <row r="403">
          <cell r="B403" t="str">
            <v>Shortcuts  Front</v>
          </cell>
          <cell r="M403" t="str">
            <v>Shortcuts</v>
          </cell>
          <cell r="S403" t="str">
            <v>VASS</v>
          </cell>
          <cell r="AP403" t="str">
            <v>Public Cloud</v>
          </cell>
        </row>
        <row r="404">
          <cell r="B404" t="str">
            <v>Shortcuts Data</v>
          </cell>
          <cell r="M404" t="str">
            <v>Shortcuts</v>
          </cell>
          <cell r="S404" t="str">
            <v>VASS</v>
          </cell>
          <cell r="AP404" t="str">
            <v>Public Cloud</v>
          </cell>
        </row>
        <row r="405">
          <cell r="B405" t="str">
            <v>Shortcuts  Servicios</v>
          </cell>
          <cell r="M405" t="str">
            <v>Shortcuts</v>
          </cell>
          <cell r="S405" t="str">
            <v>VASS</v>
          </cell>
          <cell r="AP405" t="str">
            <v>Public Cloud</v>
          </cell>
        </row>
        <row r="406">
          <cell r="B406" t="str">
            <v>Shortcuts Security</v>
          </cell>
          <cell r="M406" t="str">
            <v>Shortcuts</v>
          </cell>
          <cell r="S406" t="str">
            <v>VASS</v>
          </cell>
          <cell r="AP406" t="str">
            <v>Public Cloud</v>
          </cell>
        </row>
        <row r="407">
          <cell r="B407" t="str">
            <v>BBVA Recaudación</v>
          </cell>
          <cell r="M407" t="str">
            <v>BBVA Recaudación</v>
          </cell>
          <cell r="S407" t="str">
            <v>Tech and Design</v>
          </cell>
          <cell r="AP407" t="str">
            <v>External</v>
          </cell>
        </row>
        <row r="408">
          <cell r="B408" t="str">
            <v>IBK Recaudación</v>
          </cell>
          <cell r="M408" t="str">
            <v>IBK Recaudación</v>
          </cell>
          <cell r="S408" t="str">
            <v>Tech and Design</v>
          </cell>
          <cell r="AP408" t="str">
            <v>External</v>
          </cell>
        </row>
        <row r="409">
          <cell r="B409" t="str">
            <v>Izipay Pagos en línea</v>
          </cell>
          <cell r="M409" t="str">
            <v>Izipay Pagos en línea</v>
          </cell>
          <cell r="S409" t="str">
            <v>Tech and Design</v>
          </cell>
          <cell r="AP409" t="str">
            <v>External</v>
          </cell>
        </row>
        <row r="410">
          <cell r="B410" t="str">
            <v>Editran</v>
          </cell>
          <cell r="M410" t="str">
            <v>Editran</v>
          </cell>
          <cell r="S410" t="str">
            <v>Tech and Design</v>
          </cell>
          <cell r="AP410" t="str">
            <v>On Premises</v>
          </cell>
        </row>
        <row r="411">
          <cell r="B411" t="str">
            <v xml:space="preserve">Virtual Assistant P&amp;C </v>
          </cell>
          <cell r="M411" t="str">
            <v>Virtual Assistant P&amp;C</v>
          </cell>
          <cell r="S411" t="str">
            <v>Amazon WebServices</v>
          </cell>
          <cell r="AP411" t="str">
            <v>Public Cloud</v>
          </cell>
        </row>
        <row r="412">
          <cell r="B412" t="str">
            <v>Digito - Front</v>
          </cell>
          <cell r="M412" t="str">
            <v>Digito</v>
          </cell>
          <cell r="S412" t="str">
            <v>Tech &amp; Design</v>
          </cell>
          <cell r="AP412" t="str">
            <v>External</v>
          </cell>
        </row>
        <row r="413">
          <cell r="B413" t="str">
            <v>MRT</v>
          </cell>
          <cell r="M413" t="str">
            <v>MRT</v>
          </cell>
          <cell r="S413" t="str">
            <v>Santander Digital Services</v>
          </cell>
          <cell r="AP413" t="str">
            <v>Public Cloud</v>
          </cell>
        </row>
        <row r="414">
          <cell r="B414" t="str">
            <v>Data Lakehouse - Capa de Ingesta</v>
          </cell>
          <cell r="M414" t="str">
            <v>Data Lakehouse</v>
          </cell>
          <cell r="S414" t="str">
            <v>Santander Global Technology &amp; Operations</v>
          </cell>
          <cell r="AP414" t="str">
            <v>On Premises</v>
          </cell>
        </row>
        <row r="415">
          <cell r="B415" t="str">
            <v>CRM Lite</v>
          </cell>
          <cell r="M415" t="str">
            <v>Excepciones Operativas</v>
          </cell>
          <cell r="S415" t="str">
            <v>SANTANDER</v>
          </cell>
          <cell r="AP415" t="str">
            <v>Internal Cloud</v>
          </cell>
        </row>
        <row r="416">
          <cell r="B416" t="str">
            <v>REPORTING SUPRA CLOUD - EXPLOTACION RIESGO OPERACIONAL</v>
          </cell>
          <cell r="M416" t="str">
            <v>SUPRA CLOUD - EXPLOTACIÓN RIESGO OPERACIONAL</v>
          </cell>
          <cell r="S416" t="str">
            <v>Santander Global Technology &amp; Operations</v>
          </cell>
          <cell r="AP416" t="str">
            <v>Public Cloud</v>
          </cell>
        </row>
        <row r="417">
          <cell r="B417" t="str">
            <v>FE-Extracción de pagos</v>
          </cell>
          <cell r="M417" t="str">
            <v>Facturación Electrónica - Auto</v>
          </cell>
          <cell r="S417" t="str">
            <v>Sistemas SC</v>
          </cell>
          <cell r="AP417" t="str">
            <v>On Premises</v>
          </cell>
        </row>
        <row r="418">
          <cell r="B418" t="str">
            <v>Terraform Enterprise</v>
          </cell>
          <cell r="M418" t="str">
            <v>Terraform Enterprise</v>
          </cell>
          <cell r="S418" t="str">
            <v>Santander Digital Services</v>
          </cell>
          <cell r="AP418" t="str">
            <v>Public Cloud</v>
          </cell>
        </row>
        <row r="419">
          <cell r="B419" t="str">
            <v>Diloo (API)</v>
          </cell>
          <cell r="M419" t="str">
            <v>Diloo</v>
          </cell>
          <cell r="S419" t="str">
            <v>Tech and Design</v>
          </cell>
          <cell r="AP419" t="str">
            <v>External</v>
          </cell>
        </row>
        <row r="420">
          <cell r="B420" t="str">
            <v>Docuclass (API)</v>
          </cell>
          <cell r="M420" t="str">
            <v>Docuclass</v>
          </cell>
          <cell r="S420" t="str">
            <v>Tech and Design</v>
          </cell>
          <cell r="AP420" t="str">
            <v>External</v>
          </cell>
        </row>
        <row r="421">
          <cell r="B421" t="str">
            <v>Enable (API)</v>
          </cell>
          <cell r="M421" t="str">
            <v>Enable</v>
          </cell>
          <cell r="S421" t="str">
            <v>EnableSoft</v>
          </cell>
          <cell r="AP421" t="str">
            <v>External</v>
          </cell>
        </row>
        <row r="422">
          <cell r="B422" t="str">
            <v>Tracklink (API)</v>
          </cell>
          <cell r="M422" t="str">
            <v>Tracklink</v>
          </cell>
          <cell r="S422" t="str">
            <v>Motork</v>
          </cell>
          <cell r="AP422" t="str">
            <v>External</v>
          </cell>
        </row>
        <row r="423">
          <cell r="B423" t="str">
            <v>Escon (API)</v>
          </cell>
          <cell r="M423" t="str">
            <v>Escon</v>
          </cell>
          <cell r="S423" t="str">
            <v>Tech and Design</v>
          </cell>
          <cell r="AP423" t="str">
            <v>External</v>
          </cell>
        </row>
        <row r="424">
          <cell r="B424" t="str">
            <v>Mapfre (API)</v>
          </cell>
          <cell r="M424" t="str">
            <v>Mapfre</v>
          </cell>
          <cell r="S424" t="str">
            <v>Mapfre</v>
          </cell>
          <cell r="AP424" t="str">
            <v>External</v>
          </cell>
        </row>
        <row r="425">
          <cell r="B425" t="str">
            <v>Dynatrace</v>
          </cell>
          <cell r="M425" t="str">
            <v>Dynatrace</v>
          </cell>
          <cell r="S425" t="str">
            <v>Dynatrace</v>
          </cell>
          <cell r="AP425" t="str">
            <v>Internal Cloud</v>
          </cell>
        </row>
        <row r="426">
          <cell r="B426" t="str">
            <v>Dynatrace</v>
          </cell>
          <cell r="M426" t="str">
            <v>Dynatrace</v>
          </cell>
          <cell r="S426" t="str">
            <v>Dynatrace</v>
          </cell>
          <cell r="AP426" t="str">
            <v>Internal Cloud</v>
          </cell>
        </row>
        <row r="427">
          <cell r="B427" t="str">
            <v>ServiceNow - SPM</v>
          </cell>
          <cell r="M427" t="str">
            <v>ServiceNow - SPM</v>
          </cell>
          <cell r="S427" t="str">
            <v>ServiceNow</v>
          </cell>
          <cell r="AP427" t="str">
            <v>External</v>
          </cell>
        </row>
        <row r="428">
          <cell r="B428" t="str">
            <v>ServiceNow - CMDB</v>
          </cell>
          <cell r="M428" t="str">
            <v>ServiceNow - CMDB</v>
          </cell>
          <cell r="S428" t="str">
            <v>ServiceNow</v>
          </cell>
          <cell r="AP428" t="str">
            <v>External</v>
          </cell>
        </row>
        <row r="429">
          <cell r="B429" t="str">
            <v>Azure DevOps</v>
          </cell>
          <cell r="M429" t="str">
            <v>Azure DevOps</v>
          </cell>
          <cell r="S429" t="str">
            <v>MICROSOFT</v>
          </cell>
          <cell r="AP429" t="str">
            <v>Internal Cloud</v>
          </cell>
        </row>
        <row r="430">
          <cell r="B430" t="str">
            <v>ServiceNow - ITSM</v>
          </cell>
          <cell r="M430" t="str">
            <v>ServiceNow - ITSM</v>
          </cell>
          <cell r="S430" t="str">
            <v>ServiceNow</v>
          </cell>
          <cell r="AP430" t="str">
            <v>External</v>
          </cell>
        </row>
        <row r="431">
          <cell r="B431" t="str">
            <v>Consulta completa RENIEC</v>
          </cell>
          <cell r="M431" t="str">
            <v>Reniec</v>
          </cell>
          <cell r="S431" t="str">
            <v>Tech and Design</v>
          </cell>
          <cell r="AP431" t="str">
            <v>External</v>
          </cell>
        </row>
        <row r="432">
          <cell r="B432" t="str">
            <v>Concesiones BFF</v>
          </cell>
          <cell r="M432" t="str">
            <v xml:space="preserve">Concesiones y Ventas </v>
          </cell>
          <cell r="S432" t="str">
            <v>Tech and Design</v>
          </cell>
          <cell r="AP432" t="str">
            <v>Public Cloud</v>
          </cell>
        </row>
        <row r="433">
          <cell r="B433" t="str">
            <v>ServiceNow - SPM</v>
          </cell>
          <cell r="M433" t="str">
            <v>ServiceNow - SPM</v>
          </cell>
          <cell r="S433" t="str">
            <v>ServiceNow</v>
          </cell>
          <cell r="AP433" t="str">
            <v>External</v>
          </cell>
        </row>
        <row r="434">
          <cell r="B434" t="str">
            <v>ServiceNow - CMDB</v>
          </cell>
          <cell r="M434" t="str">
            <v>ServiceNow - CMDB</v>
          </cell>
          <cell r="S434" t="str">
            <v>ServiceNow</v>
          </cell>
          <cell r="AP434" t="str">
            <v>External</v>
          </cell>
        </row>
        <row r="435">
          <cell r="B435" t="str">
            <v>ServiceNow - ITSM</v>
          </cell>
          <cell r="M435" t="str">
            <v>ServiceNow - ITSM</v>
          </cell>
          <cell r="S435" t="str">
            <v>ServiceNow</v>
          </cell>
          <cell r="AP435" t="str">
            <v>External</v>
          </cell>
        </row>
        <row r="436">
          <cell r="B436" t="str">
            <v>ServiceNow - SPM</v>
          </cell>
          <cell r="M436" t="str">
            <v>ServiceNow - SPM</v>
          </cell>
          <cell r="S436" t="str">
            <v>ServiceNow</v>
          </cell>
          <cell r="AP436" t="str">
            <v>External</v>
          </cell>
        </row>
        <row r="437">
          <cell r="B437" t="str">
            <v>ServiceNow - CMDB</v>
          </cell>
          <cell r="M437" t="str">
            <v>ServiceNow - CMDB</v>
          </cell>
          <cell r="S437" t="str">
            <v>ServiceNow</v>
          </cell>
          <cell r="AP437" t="str">
            <v>External</v>
          </cell>
        </row>
        <row r="438">
          <cell r="B438" t="str">
            <v>ServiceNow - ITSM</v>
          </cell>
          <cell r="M438" t="str">
            <v>ServiceNow - ITSM</v>
          </cell>
          <cell r="S438" t="str">
            <v>ServiceNow</v>
          </cell>
          <cell r="AP438" t="str">
            <v>External</v>
          </cell>
        </row>
        <row r="439">
          <cell r="B439" t="str">
            <v>ServiceNow - SPM</v>
          </cell>
          <cell r="M439" t="str">
            <v>ServiceNow - SPM</v>
          </cell>
          <cell r="S439" t="str">
            <v>ServiceNow</v>
          </cell>
          <cell r="AP439" t="str">
            <v>External</v>
          </cell>
        </row>
        <row r="440">
          <cell r="B440" t="str">
            <v>ServiceNow - CMDB</v>
          </cell>
          <cell r="M440" t="str">
            <v>ServiceNow - CMDB</v>
          </cell>
          <cell r="S440" t="str">
            <v>ServiceNow</v>
          </cell>
          <cell r="AP440" t="str">
            <v>External</v>
          </cell>
        </row>
        <row r="441">
          <cell r="B441" t="str">
            <v>Gluon - Soporte Local</v>
          </cell>
          <cell r="M441" t="str">
            <v>Gluon</v>
          </cell>
          <cell r="S441" t="str">
            <v>Santander Global Banking (GBM)</v>
          </cell>
          <cell r="AP441" t="str">
            <v>External</v>
          </cell>
        </row>
        <row r="442">
          <cell r="B442" t="str">
            <v>Gluon - Gluon Early Access</v>
          </cell>
          <cell r="M442" t="str">
            <v>Gluon</v>
          </cell>
          <cell r="S442" t="str">
            <v>Santander Global Banking (GBM)</v>
          </cell>
          <cell r="AP442" t="str">
            <v>Internal Cloud</v>
          </cell>
        </row>
        <row r="443">
          <cell r="B443" t="str">
            <v>Gluon - Soporte Local</v>
          </cell>
          <cell r="M443" t="str">
            <v>Gluon</v>
          </cell>
          <cell r="S443" t="str">
            <v>Santander Global Banking (GBM)</v>
          </cell>
          <cell r="AP443" t="str">
            <v>External</v>
          </cell>
        </row>
        <row r="444">
          <cell r="B444" t="str">
            <v>Gluon - Gluon Early Access</v>
          </cell>
          <cell r="M444" t="str">
            <v>Gluon</v>
          </cell>
          <cell r="S444" t="str">
            <v>Santander Global Banking (GBM)</v>
          </cell>
          <cell r="AP444" t="str">
            <v>Internal Cloud</v>
          </cell>
        </row>
        <row r="445">
          <cell r="B445" t="str">
            <v>Gluon - Soporte Local</v>
          </cell>
          <cell r="M445" t="str">
            <v>Gluon</v>
          </cell>
          <cell r="S445" t="str">
            <v>Santander Global Banking (GBM)</v>
          </cell>
          <cell r="AP445" t="str">
            <v>External</v>
          </cell>
        </row>
        <row r="446">
          <cell r="B446" t="str">
            <v>Data Lakehouse - Integración</v>
          </cell>
          <cell r="M446" t="str">
            <v>Data Lakehouse</v>
          </cell>
          <cell r="S446" t="str">
            <v>Santander Global Technology &amp; Operations</v>
          </cell>
          <cell r="AP446" t="str">
            <v>Internal Cloud</v>
          </cell>
        </row>
        <row r="447">
          <cell r="B447" t="str">
            <v>Data Lakehouse - Procesamiento</v>
          </cell>
          <cell r="M447" t="str">
            <v>Data Lakehouse</v>
          </cell>
          <cell r="S447" t="str">
            <v>Santander Global Technology &amp; Operations</v>
          </cell>
          <cell r="AP447" t="str">
            <v>Internal Cloud</v>
          </cell>
        </row>
        <row r="448">
          <cell r="B448" t="str">
            <v>Data Lakehouse - Lakehouse Data Platform</v>
          </cell>
          <cell r="M448" t="str">
            <v>Data Lakehouse</v>
          </cell>
          <cell r="S448" t="str">
            <v>Santander Global Technology &amp; Operations</v>
          </cell>
          <cell r="AP448" t="str">
            <v>On Premises</v>
          </cell>
        </row>
        <row r="449">
          <cell r="B449" t="str">
            <v>Cisco Umbrella</v>
          </cell>
          <cell r="M449" t="str">
            <v>Cisco Umbrella</v>
          </cell>
          <cell r="S449" t="str">
            <v>Cisco Systems</v>
          </cell>
          <cell r="AP449" t="str">
            <v>Public Cloud</v>
          </cell>
        </row>
        <row r="450">
          <cell r="B450" t="str">
            <v>Cisco Umbrella</v>
          </cell>
          <cell r="M450" t="str">
            <v>Cisco Umbrella</v>
          </cell>
          <cell r="S450" t="str">
            <v>Cisco Systems</v>
          </cell>
          <cell r="AP450" t="str">
            <v>Public Cloud</v>
          </cell>
        </row>
        <row r="451">
          <cell r="B451" t="str">
            <v>Crowdstrike</v>
          </cell>
          <cell r="M451" t="str">
            <v>CrowdStrike</v>
          </cell>
          <cell r="S451" t="str">
            <v>SGT</v>
          </cell>
          <cell r="AP451" t="str">
            <v>Internal Cloud</v>
          </cell>
        </row>
        <row r="452">
          <cell r="B452" t="str">
            <v>Crowdstrike</v>
          </cell>
          <cell r="M452" t="str">
            <v>CrowdStrike</v>
          </cell>
          <cell r="S452" t="str">
            <v>SGT</v>
          </cell>
          <cell r="AP452" t="str">
            <v>Internal Cloud</v>
          </cell>
        </row>
        <row r="453">
          <cell r="B453" t="str">
            <v>CyberArk</v>
          </cell>
          <cell r="M453" t="str">
            <v>CyberArk</v>
          </cell>
          <cell r="S453" t="str">
            <v>Palo Alto Networks</v>
          </cell>
          <cell r="AP453" t="str">
            <v>External</v>
          </cell>
        </row>
        <row r="454">
          <cell r="B454" t="str">
            <v>Qualys</v>
          </cell>
          <cell r="M454" t="str">
            <v>Qualys</v>
          </cell>
          <cell r="S454" t="str">
            <v>Qualys</v>
          </cell>
          <cell r="AP454" t="str">
            <v>Public Cloud</v>
          </cell>
        </row>
        <row r="455">
          <cell r="B455" t="str">
            <v>Qualys</v>
          </cell>
          <cell r="M455" t="str">
            <v>Qualys</v>
          </cell>
          <cell r="S455" t="str">
            <v>Qualys</v>
          </cell>
          <cell r="AP455" t="str">
            <v>Public Cloud</v>
          </cell>
        </row>
        <row r="456">
          <cell r="B456" t="str">
            <v>Cisco Secure Client</v>
          </cell>
          <cell r="M456" t="str">
            <v>Cisco Secure Client</v>
          </cell>
          <cell r="S456" t="str">
            <v>Cisco Systems</v>
          </cell>
          <cell r="AP456" t="str">
            <v>On Premises</v>
          </cell>
        </row>
        <row r="457">
          <cell r="B457" t="str">
            <v>Cisco Secure Client</v>
          </cell>
          <cell r="M457" t="str">
            <v>Cisco Secure Client</v>
          </cell>
          <cell r="S457" t="str">
            <v>Cisco Systems</v>
          </cell>
          <cell r="AP457" t="str">
            <v>On Premises</v>
          </cell>
        </row>
        <row r="458">
          <cell r="B458" t="str">
            <v>Intune</v>
          </cell>
          <cell r="M458" t="str">
            <v>InTune</v>
          </cell>
          <cell r="S458" t="str">
            <v>Santander Global Technologies</v>
          </cell>
          <cell r="AP458" t="str">
            <v>Without Data</v>
          </cell>
        </row>
        <row r="459">
          <cell r="B459" t="str">
            <v>InTune Autopilot</v>
          </cell>
          <cell r="M459" t="str">
            <v>InTune</v>
          </cell>
          <cell r="S459" t="str">
            <v>Santander Global Technologies</v>
          </cell>
          <cell r="AP459" t="str">
            <v>Internal Cloud</v>
          </cell>
        </row>
        <row r="460">
          <cell r="B460" t="str">
            <v>Intune</v>
          </cell>
          <cell r="M460" t="str">
            <v>InTune</v>
          </cell>
          <cell r="S460" t="str">
            <v>Santander Global Technologies</v>
          </cell>
          <cell r="AP460" t="str">
            <v>Without Data</v>
          </cell>
        </row>
        <row r="461">
          <cell r="B461" t="str">
            <v>InTune Autopilot</v>
          </cell>
          <cell r="M461" t="str">
            <v>InTune</v>
          </cell>
          <cell r="S461" t="str">
            <v>Santander Global Technologies</v>
          </cell>
          <cell r="AP461" t="str">
            <v>Internal Cloud</v>
          </cell>
        </row>
        <row r="462">
          <cell r="B462" t="str">
            <v>Cisco Umbrella</v>
          </cell>
          <cell r="M462" t="str">
            <v>Cisco Umbrella</v>
          </cell>
          <cell r="S462" t="str">
            <v>Cisco Systems</v>
          </cell>
          <cell r="AP462" t="str">
            <v>Public Cloud</v>
          </cell>
        </row>
        <row r="463">
          <cell r="B463" t="str">
            <v>Crowdstrike</v>
          </cell>
          <cell r="M463" t="str">
            <v>CrowdStrike</v>
          </cell>
          <cell r="S463" t="str">
            <v>CrowdStrike</v>
          </cell>
          <cell r="AP463" t="str">
            <v>Internal Cloud</v>
          </cell>
        </row>
        <row r="464">
          <cell r="B464" t="str">
            <v>CyberArk</v>
          </cell>
          <cell r="M464" t="str">
            <v>CyberArk</v>
          </cell>
          <cell r="S464" t="str">
            <v>Palo Alto Networks</v>
          </cell>
          <cell r="AP464" t="str">
            <v>External</v>
          </cell>
        </row>
        <row r="465">
          <cell r="B465" t="str">
            <v>Qualys</v>
          </cell>
          <cell r="M465" t="str">
            <v>Qualys</v>
          </cell>
          <cell r="S465" t="str">
            <v>Qualys</v>
          </cell>
          <cell r="AP465" t="str">
            <v>Public Cloud</v>
          </cell>
        </row>
        <row r="466">
          <cell r="B466" t="str">
            <v>Autopilot</v>
          </cell>
          <cell r="M466" t="str">
            <v>Autopilot</v>
          </cell>
          <cell r="S466" t="str">
            <v>Santander Global Technologies</v>
          </cell>
          <cell r="AP466" t="str">
            <v>Internal Cloud</v>
          </cell>
        </row>
        <row r="467">
          <cell r="B467" t="str">
            <v>Jira</v>
          </cell>
          <cell r="M467" t="str">
            <v>Jira</v>
          </cell>
          <cell r="S467" t="str">
            <v>JIRA</v>
          </cell>
          <cell r="AP467" t="str">
            <v>Internal Cloud</v>
          </cell>
        </row>
        <row r="468">
          <cell r="B468" t="str">
            <v>Jira</v>
          </cell>
          <cell r="M468" t="str">
            <v>Jira</v>
          </cell>
          <cell r="S468" t="str">
            <v>JIRA</v>
          </cell>
          <cell r="AP468" t="str">
            <v>Internal Cloud</v>
          </cell>
        </row>
        <row r="469">
          <cell r="B469" t="str">
            <v>Dojo</v>
          </cell>
          <cell r="M469" t="str">
            <v>DOJO</v>
          </cell>
          <cell r="S469" t="str">
            <v>CornerStone</v>
          </cell>
          <cell r="AP469" t="str">
            <v>External</v>
          </cell>
        </row>
        <row r="470">
          <cell r="B470" t="str">
            <v>Facephi - Validación</v>
          </cell>
          <cell r="M470" t="str">
            <v>Facephi</v>
          </cell>
          <cell r="S470" t="str">
            <v>FacePhi</v>
          </cell>
          <cell r="AP470" t="str">
            <v>External</v>
          </cell>
        </row>
        <row r="471">
          <cell r="B471" t="str">
            <v>Emblue - Gestor de envío de emails</v>
          </cell>
          <cell r="M471" t="str">
            <v>Emblue</v>
          </cell>
          <cell r="S471" t="str">
            <v>Tech and Design</v>
          </cell>
          <cell r="AP471" t="str">
            <v>External</v>
          </cell>
        </row>
        <row r="472">
          <cell r="B472" t="str">
            <v>Sharepoint</v>
          </cell>
          <cell r="M472" t="str">
            <v>Sharepoint</v>
          </cell>
          <cell r="S472" t="str">
            <v>MICROSOFT</v>
          </cell>
          <cell r="AP472" t="str">
            <v>Internal Cloud</v>
          </cell>
        </row>
        <row r="473">
          <cell r="B473" t="str">
            <v>Sharepoint</v>
          </cell>
          <cell r="M473" t="str">
            <v>Sharepoint</v>
          </cell>
          <cell r="S473" t="str">
            <v>MICROSOFT</v>
          </cell>
          <cell r="AP473" t="str">
            <v>Internal Cloud</v>
          </cell>
        </row>
        <row r="474">
          <cell r="B474" t="str">
            <v>Arka</v>
          </cell>
          <cell r="M474" t="str">
            <v>Arka</v>
          </cell>
          <cell r="S474" t="str">
            <v>Vector</v>
          </cell>
          <cell r="AP474" t="str">
            <v>Public Cloud</v>
          </cell>
        </row>
        <row r="475">
          <cell r="B475" t="str">
            <v>Deep Security</v>
          </cell>
          <cell r="M475" t="str">
            <v>Deep Security</v>
          </cell>
          <cell r="S475" t="str">
            <v>Santander Global Technologies</v>
          </cell>
          <cell r="AP475" t="str">
            <v>Public Cloud</v>
          </cell>
        </row>
        <row r="476">
          <cell r="B476" t="str">
            <v>Virtual Assistant P&amp;C - MS Teams Integration</v>
          </cell>
          <cell r="M476" t="str">
            <v>Virtual Assistant P&amp;C</v>
          </cell>
          <cell r="S476" t="str">
            <v>MICROSOFT</v>
          </cell>
          <cell r="AP476" t="str">
            <v>Public Cloud</v>
          </cell>
        </row>
        <row r="477">
          <cell r="B477" t="str">
            <v>VA P&amp;C - MS TEAMS INTEGRATION</v>
          </cell>
          <cell r="M477" t="str">
            <v>Virtual Assistant P&amp;C</v>
          </cell>
          <cell r="S477" t="str">
            <v>MICROSOFT</v>
          </cell>
          <cell r="AP477" t="str">
            <v>Public Cloud</v>
          </cell>
        </row>
        <row r="478">
          <cell r="B478" t="str">
            <v>EDCAST LXP</v>
          </cell>
          <cell r="M478" t="str">
            <v>DOJO 2.0</v>
          </cell>
          <cell r="S478" t="str">
            <v>CornerStone</v>
          </cell>
          <cell r="AP478" t="str">
            <v>External</v>
          </cell>
        </row>
        <row r="479">
          <cell r="B479" t="str">
            <v>Exchange</v>
          </cell>
          <cell r="M479" t="str">
            <v>Exchange</v>
          </cell>
          <cell r="S479" t="str">
            <v>MICROSOFT</v>
          </cell>
          <cell r="AP479" t="str">
            <v>Internal Cloud</v>
          </cell>
        </row>
        <row r="480">
          <cell r="B480" t="str">
            <v>Azure (SDH)</v>
          </cell>
          <cell r="M480" t="str">
            <v>Azure (SDH)</v>
          </cell>
          <cell r="S480" t="str">
            <v>Santander Global Technologies</v>
          </cell>
          <cell r="AP480" t="str">
            <v>Without Data</v>
          </cell>
        </row>
        <row r="481">
          <cell r="B481" t="str">
            <v>HCX</v>
          </cell>
          <cell r="M481" t="str">
            <v>HCX</v>
          </cell>
          <cell r="S481" t="str">
            <v>Santander Digital Services</v>
          </cell>
          <cell r="AP481" t="str">
            <v>Internal Cloud</v>
          </cell>
        </row>
        <row r="482">
          <cell r="B482" t="str">
            <v>SAP by Design</v>
          </cell>
          <cell r="M482" t="str">
            <v>SAP by Design</v>
          </cell>
          <cell r="S482" t="str">
            <v>SAP</v>
          </cell>
          <cell r="AP482" t="str">
            <v>External</v>
          </cell>
        </row>
        <row r="483">
          <cell r="B483" t="str">
            <v>Diloo</v>
          </cell>
          <cell r="M483" t="str">
            <v>Diloo</v>
          </cell>
          <cell r="S483" t="str">
            <v>Externo</v>
          </cell>
          <cell r="AP483" t="str">
            <v>External</v>
          </cell>
        </row>
        <row r="484">
          <cell r="B484" t="str">
            <v>Exchange</v>
          </cell>
          <cell r="M484" t="str">
            <v>Exchange</v>
          </cell>
          <cell r="S484" t="str">
            <v>MICROSOFT</v>
          </cell>
          <cell r="AP484" t="str">
            <v>Internal Cloud</v>
          </cell>
        </row>
        <row r="485">
          <cell r="B485" t="str">
            <v>Tarjeta Santander SKY Plus - Motor decision Modellica</v>
          </cell>
          <cell r="M485" t="str">
            <v>Tarjeta Santander SKY Plus</v>
          </cell>
          <cell r="S485" t="str">
            <v>Amazon WebServices</v>
          </cell>
          <cell r="AP485" t="str">
            <v>Public Cloud</v>
          </cell>
        </row>
        <row r="486">
          <cell r="B486" t="str">
            <v>Software Asset Management (SAM)</v>
          </cell>
          <cell r="M486" t="str">
            <v>FlexNet Manager Suite_</v>
          </cell>
          <cell r="S486" t="str">
            <v>Flexera Software</v>
          </cell>
          <cell r="AP486" t="str">
            <v>On Premises</v>
          </cell>
        </row>
        <row r="487">
          <cell r="B487" t="str">
            <v>Gestión de Cobranzas - Visor Cobranzas</v>
          </cell>
          <cell r="M487" t="str">
            <v>Gestión de Cobranzas</v>
          </cell>
          <cell r="S487" t="str">
            <v>Visor</v>
          </cell>
          <cell r="AP487" t="str">
            <v>Internal Cloud</v>
          </cell>
        </row>
        <row r="488">
          <cell r="B488" t="str">
            <v>Software Asset Management (SAM)</v>
          </cell>
          <cell r="M488" t="str">
            <v>FlexNet Manager Suite_</v>
          </cell>
          <cell r="S488" t="str">
            <v>Flexera Software</v>
          </cell>
          <cell r="AP488" t="str">
            <v>On Premises</v>
          </cell>
        </row>
        <row r="489">
          <cell r="B489" t="str">
            <v>Software Asset Management (SAM)</v>
          </cell>
          <cell r="M489" t="str">
            <v>FlexNet Manager Suite_</v>
          </cell>
          <cell r="S489" t="str">
            <v>Flexera Software</v>
          </cell>
          <cell r="AP489" t="str">
            <v>On Premises</v>
          </cell>
        </row>
        <row r="490">
          <cell r="B490" t="str">
            <v>Software Asset Management (SAM)</v>
          </cell>
          <cell r="M490" t="str">
            <v>FlexNet Manager Suite_</v>
          </cell>
          <cell r="S490" t="str">
            <v>Flexera Software</v>
          </cell>
          <cell r="AP490" t="str">
            <v>On Premises</v>
          </cell>
        </row>
        <row r="491">
          <cell r="B491" t="str">
            <v>Software Asset Management (SAM)</v>
          </cell>
          <cell r="M491" t="str">
            <v>FlexNet Manager Suite_</v>
          </cell>
          <cell r="S491" t="str">
            <v>Flexera Software</v>
          </cell>
          <cell r="AP491" t="str">
            <v>On Premises</v>
          </cell>
        </row>
        <row r="492">
          <cell r="B492" t="str">
            <v>MATERIAL RISK TAKERS (MRT)</v>
          </cell>
          <cell r="M492" t="str">
            <v>MRT</v>
          </cell>
          <cell r="S492" t="str">
            <v>Santander Digital Services</v>
          </cell>
          <cell r="AP492" t="str">
            <v>Public Cloud</v>
          </cell>
        </row>
        <row r="493">
          <cell r="B493" t="str">
            <v>Distribuidor para trafico de datos</v>
          </cell>
          <cell r="M493" t="str">
            <v>Distribuidor para trafico de datos</v>
          </cell>
          <cell r="S493" t="str">
            <v>Fortinet</v>
          </cell>
          <cell r="AP493" t="str">
            <v>On Premises</v>
          </cell>
        </row>
        <row r="494">
          <cell r="B494" t="str">
            <v>Microservicios para Solicitud</v>
          </cell>
          <cell r="M494" t="str">
            <v xml:space="preserve">Concesiones y Ventas </v>
          </cell>
          <cell r="S494" t="str">
            <v>Tech and Design</v>
          </cell>
          <cell r="AP494" t="str">
            <v>Public Cloud</v>
          </cell>
        </row>
        <row r="495">
          <cell r="B495" t="str">
            <v>Microservicios para Configuración</v>
          </cell>
          <cell r="M495" t="str">
            <v xml:space="preserve">Concesiones y Ventas </v>
          </cell>
          <cell r="S495" t="str">
            <v>Tech and Design</v>
          </cell>
          <cell r="AP495" t="str">
            <v>Public Cloud</v>
          </cell>
        </row>
        <row r="496">
          <cell r="B496" t="str">
            <v>APM - Application Portfolio Management</v>
          </cell>
          <cell r="M496" t="str">
            <v>IT Service Management</v>
          </cell>
          <cell r="S496" t="str">
            <v>ServiceNow</v>
          </cell>
          <cell r="AP496" t="str">
            <v>Hybrid</v>
          </cell>
        </row>
        <row r="497">
          <cell r="B497" t="str">
            <v>APM - Application Portfolio Management</v>
          </cell>
          <cell r="M497" t="str">
            <v>IT Service Management</v>
          </cell>
          <cell r="S497" t="str">
            <v>ServiceNow</v>
          </cell>
          <cell r="AP497" t="str">
            <v>Hybrid</v>
          </cell>
        </row>
        <row r="498">
          <cell r="B498" t="str">
            <v>APM - Application Portfolio Management</v>
          </cell>
          <cell r="M498" t="str">
            <v>IT Service Management</v>
          </cell>
          <cell r="S498" t="str">
            <v>ServiceNow</v>
          </cell>
          <cell r="AP498" t="str">
            <v>Hybrid</v>
          </cell>
        </row>
        <row r="499">
          <cell r="B499" t="str">
            <v>APM - Application Portfolio Management</v>
          </cell>
          <cell r="M499" t="str">
            <v>IT Service Management</v>
          </cell>
          <cell r="S499" t="str">
            <v>ServiceNow</v>
          </cell>
          <cell r="AP499" t="str">
            <v>Hybrid</v>
          </cell>
        </row>
        <row r="500">
          <cell r="B500" t="str">
            <v>ITSM - CMDB</v>
          </cell>
          <cell r="M500" t="str">
            <v>IT Service Management</v>
          </cell>
          <cell r="S500" t="str">
            <v>ServiceNow</v>
          </cell>
          <cell r="AP500" t="str">
            <v>Hybrid</v>
          </cell>
        </row>
        <row r="501">
          <cell r="B501" t="str">
            <v>ITSM - CMDB</v>
          </cell>
          <cell r="M501" t="str">
            <v>IT Service Management</v>
          </cell>
          <cell r="S501" t="str">
            <v>ServiceNow</v>
          </cell>
          <cell r="AP501" t="str">
            <v>Hybrid</v>
          </cell>
        </row>
        <row r="502">
          <cell r="B502" t="str">
            <v>ITSM - CMDB</v>
          </cell>
          <cell r="M502" t="str">
            <v>IT Service Management</v>
          </cell>
          <cell r="S502" t="str">
            <v>ServiceNow</v>
          </cell>
          <cell r="AP502" t="str">
            <v>Hybrid</v>
          </cell>
        </row>
        <row r="503">
          <cell r="B503" t="str">
            <v>ITSM - CMDB</v>
          </cell>
          <cell r="M503" t="str">
            <v>IT Service Management</v>
          </cell>
          <cell r="S503" t="str">
            <v>ServiceNow</v>
          </cell>
          <cell r="AP503" t="str">
            <v>Hybrid</v>
          </cell>
        </row>
        <row r="504">
          <cell r="B504" t="str">
            <v>Data Lakehouse - Gobierno y Seguridad</v>
          </cell>
          <cell r="M504" t="str">
            <v>Data Lakehouse</v>
          </cell>
          <cell r="S504" t="str">
            <v>Santander Global Technology &amp; Operations</v>
          </cell>
          <cell r="AP504" t="str">
            <v>Internal Cloud</v>
          </cell>
        </row>
        <row r="505">
          <cell r="B505" t="str">
            <v>ITSM - Request Management</v>
          </cell>
          <cell r="M505" t="str">
            <v>IT Service Management</v>
          </cell>
          <cell r="S505" t="str">
            <v>ServiceNow</v>
          </cell>
          <cell r="AP505" t="str">
            <v>Hybrid</v>
          </cell>
        </row>
        <row r="506">
          <cell r="B506" t="str">
            <v>ITSM - Request Management</v>
          </cell>
          <cell r="M506" t="str">
            <v>IT Service Management</v>
          </cell>
          <cell r="S506" t="str">
            <v>ServiceNow</v>
          </cell>
          <cell r="AP506" t="str">
            <v>Hybrid</v>
          </cell>
        </row>
        <row r="507">
          <cell r="B507" t="str">
            <v>ITSM - Request Management</v>
          </cell>
          <cell r="M507" t="str">
            <v>IT Service Management</v>
          </cell>
          <cell r="S507" t="str">
            <v>ServiceNow</v>
          </cell>
          <cell r="AP507" t="str">
            <v>Hybrid</v>
          </cell>
        </row>
        <row r="508">
          <cell r="B508" t="str">
            <v>ITSM - Request Management</v>
          </cell>
          <cell r="M508" t="str">
            <v>IT Service Management</v>
          </cell>
          <cell r="S508" t="str">
            <v>ServiceNow</v>
          </cell>
          <cell r="AP508" t="str">
            <v>Hybrid</v>
          </cell>
        </row>
        <row r="509">
          <cell r="B509" t="str">
            <v>ITSM - Incident Management</v>
          </cell>
          <cell r="M509" t="str">
            <v>IT Service Management</v>
          </cell>
          <cell r="S509" t="str">
            <v>ServiceNow</v>
          </cell>
          <cell r="AP509" t="str">
            <v>Hybrid</v>
          </cell>
        </row>
        <row r="510">
          <cell r="B510" t="str">
            <v>ITSM - Incident Management</v>
          </cell>
          <cell r="M510" t="str">
            <v>IT Service Management</v>
          </cell>
          <cell r="S510" t="str">
            <v>ServiceNow</v>
          </cell>
          <cell r="AP510" t="str">
            <v>Hybrid</v>
          </cell>
        </row>
        <row r="511">
          <cell r="B511" t="str">
            <v>ITSM - Incident Management</v>
          </cell>
          <cell r="M511" t="str">
            <v>IT Service Management</v>
          </cell>
          <cell r="S511" t="str">
            <v>ServiceNow</v>
          </cell>
          <cell r="AP511" t="str">
            <v>Hybrid</v>
          </cell>
        </row>
        <row r="512">
          <cell r="B512" t="str">
            <v>ITSM - Incident Management</v>
          </cell>
          <cell r="M512" t="str">
            <v>IT Service Management</v>
          </cell>
          <cell r="S512" t="str">
            <v>ServiceNow</v>
          </cell>
          <cell r="AP512" t="str">
            <v>Hybrid</v>
          </cell>
        </row>
        <row r="513">
          <cell r="B513" t="str">
            <v>Bloomberg / TOMS</v>
          </cell>
          <cell r="M513" t="str">
            <v>Bloomberg / TOMS</v>
          </cell>
          <cell r="S513" t="str">
            <v>Bloomberg</v>
          </cell>
          <cell r="AP513" t="str">
            <v>External</v>
          </cell>
        </row>
        <row r="514">
          <cell r="B514" t="str">
            <v>Revisión SCAN</v>
          </cell>
          <cell r="M514" t="str">
            <v>SCAN</v>
          </cell>
          <cell r="S514" t="str">
            <v>Santander Digital Services</v>
          </cell>
          <cell r="AP514" t="str">
            <v>Hybrid</v>
          </cell>
        </row>
        <row r="515">
          <cell r="B515" t="str">
            <v>Software Asset Management (SAM)</v>
          </cell>
          <cell r="M515" t="str">
            <v>FlexNet Manager Suite</v>
          </cell>
          <cell r="S515" t="str">
            <v>Santander Digital Services</v>
          </cell>
          <cell r="AP515" t="str">
            <v>On Premises</v>
          </cell>
        </row>
        <row r="516">
          <cell r="B516" t="str">
            <v>Software Asset Management (SAM)</v>
          </cell>
          <cell r="M516" t="str">
            <v>FlexNet Manager Suite</v>
          </cell>
          <cell r="S516" t="str">
            <v>Santander Digital Services</v>
          </cell>
          <cell r="AP516" t="str">
            <v>On Premises</v>
          </cell>
        </row>
        <row r="517">
          <cell r="B517" t="str">
            <v>Software Asset Management (SAM)</v>
          </cell>
          <cell r="M517" t="str">
            <v>FlexNet Manager Suite</v>
          </cell>
          <cell r="S517" t="str">
            <v>Santander Digital Services</v>
          </cell>
          <cell r="AP517" t="str">
            <v>On Premises</v>
          </cell>
        </row>
        <row r="518">
          <cell r="B518" t="str">
            <v>Software Asset Management (SAM)</v>
          </cell>
          <cell r="M518" t="str">
            <v>FlexNet Manager Suite</v>
          </cell>
          <cell r="S518" t="str">
            <v>Santander Digital Services</v>
          </cell>
          <cell r="AP518" t="str">
            <v>On Premises</v>
          </cell>
        </row>
        <row r="519">
          <cell r="B519" t="str">
            <v>Software Asset Management (SAM)</v>
          </cell>
          <cell r="M519" t="str">
            <v>FlexNet Manager Suite</v>
          </cell>
          <cell r="S519" t="str">
            <v>Santander Digital Services</v>
          </cell>
          <cell r="AP519" t="str">
            <v>On Premises</v>
          </cell>
        </row>
        <row r="520">
          <cell r="B520" t="str">
            <v>SailPoint IdentityIQ Colombia, Uruguay y Perú</v>
          </cell>
          <cell r="M520" t="str">
            <v>Sailpoint</v>
          </cell>
          <cell r="S520" t="str">
            <v>SailPoint</v>
          </cell>
          <cell r="AP520" t="str">
            <v>Internal Cloud</v>
          </cell>
        </row>
        <row r="521">
          <cell r="B521" t="str">
            <v>SailPoint IdentityIQ Colombia, Uruguay y Perú</v>
          </cell>
          <cell r="M521" t="str">
            <v>Sailpoint</v>
          </cell>
          <cell r="S521" t="str">
            <v>SailPoint</v>
          </cell>
          <cell r="AP521" t="str">
            <v>Internal Cloud</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FA74E-CBF2-449D-B3B9-A7AABC0A48EC}">
  <dimension ref="A1:IO64997"/>
  <sheetViews>
    <sheetView topLeftCell="B1" workbookViewId="0">
      <pane xSplit="2" ySplit="1" topLeftCell="F2" activePane="bottomRight" state="frozen"/>
      <selection activeCell="B1" sqref="B1"/>
      <selection pane="topRight" activeCell="D1" sqref="D1"/>
      <selection pane="bottomLeft" activeCell="B2" sqref="B2"/>
      <selection pane="bottomRight" activeCell="G2" sqref="G2"/>
    </sheetView>
  </sheetViews>
  <sheetFormatPr baseColWidth="10" defaultColWidth="8.4140625" defaultRowHeight="14.5"/>
  <cols>
    <col min="1" max="1" width="25" style="3" hidden="1" customWidth="1"/>
    <col min="2" max="2" width="24.9140625" style="12" bestFit="1" customWidth="1"/>
    <col min="3" max="3" width="36.33203125" style="12" bestFit="1" customWidth="1"/>
    <col min="4" max="4" width="16" style="12" bestFit="1" customWidth="1"/>
    <col min="5" max="5" width="36.33203125" style="12" bestFit="1" customWidth="1"/>
    <col min="6" max="6" width="61.1640625" style="3" customWidth="1"/>
    <col min="7" max="7" width="12.08203125" style="12" bestFit="1" customWidth="1"/>
    <col min="8" max="8" width="13.33203125" style="12" bestFit="1" customWidth="1"/>
    <col min="9" max="9" width="14.9140625" style="3" hidden="1" customWidth="1"/>
    <col min="10" max="10" width="19.9140625" style="3" hidden="1" customWidth="1"/>
    <col min="11" max="11" width="36.25" style="12" bestFit="1" customWidth="1"/>
    <col min="12" max="12" width="28.5" style="3" customWidth="1"/>
    <col min="13" max="13" width="20.6640625" style="3" customWidth="1"/>
    <col min="14" max="14" width="15.33203125" style="3" customWidth="1"/>
    <col min="15" max="15" width="26.75" style="3" customWidth="1"/>
    <col min="16" max="16" width="28" style="3" customWidth="1"/>
    <col min="17" max="17" width="26.1640625" style="3" bestFit="1" customWidth="1"/>
    <col min="18" max="180" width="8.4140625" style="3"/>
    <col min="181" max="181" width="15.83203125" style="3" customWidth="1"/>
    <col min="182" max="183" width="8.4140625" style="3"/>
    <col min="184" max="184" width="19.5" style="3" customWidth="1"/>
    <col min="185" max="185" width="24.9140625" style="3" customWidth="1"/>
    <col min="186" max="186" width="22.83203125" style="3" customWidth="1"/>
    <col min="187" max="187" width="30" style="3" customWidth="1"/>
    <col min="188" max="188" width="21.4140625" style="3" customWidth="1"/>
    <col min="189" max="189" width="18.9140625" style="3" customWidth="1"/>
    <col min="190" max="16384" width="8.4140625" style="3"/>
  </cols>
  <sheetData>
    <row r="1" spans="1:189">
      <c r="A1" s="1" t="s">
        <v>0</v>
      </c>
      <c r="B1" s="16" t="s">
        <v>1</v>
      </c>
      <c r="C1" s="17" t="s">
        <v>2</v>
      </c>
      <c r="D1" s="12" t="s">
        <v>3</v>
      </c>
      <c r="E1" s="12" t="s">
        <v>2</v>
      </c>
      <c r="F1" s="3" t="s">
        <v>4</v>
      </c>
      <c r="G1" s="12" t="s">
        <v>5</v>
      </c>
      <c r="H1" s="12" t="s">
        <v>6</v>
      </c>
      <c r="I1" s="3" t="s">
        <v>7</v>
      </c>
      <c r="J1" s="3" t="s">
        <v>8</v>
      </c>
      <c r="K1" s="12" t="s">
        <v>9</v>
      </c>
      <c r="L1" s="3" t="s">
        <v>10</v>
      </c>
      <c r="M1" s="3" t="s">
        <v>11</v>
      </c>
      <c r="N1" s="3" t="s">
        <v>12</v>
      </c>
      <c r="O1" s="3" t="s">
        <v>13</v>
      </c>
      <c r="P1" s="3" t="s">
        <v>14</v>
      </c>
      <c r="Q1" s="3" t="s">
        <v>15</v>
      </c>
      <c r="FY1" s="3" t="s">
        <v>16</v>
      </c>
      <c r="FZ1" s="3" t="s">
        <v>17</v>
      </c>
      <c r="GB1" s="3" t="s">
        <v>18</v>
      </c>
      <c r="GC1" s="3" t="s">
        <v>19</v>
      </c>
      <c r="GD1" s="3" t="s">
        <v>20</v>
      </c>
      <c r="GE1" s="3" t="s">
        <v>21</v>
      </c>
      <c r="GF1" s="3" t="s">
        <v>22</v>
      </c>
      <c r="GG1" s="3" t="s">
        <v>23</v>
      </c>
    </row>
    <row r="2" spans="1:189" ht="58">
      <c r="A2" s="4"/>
      <c r="B2" s="12" t="s">
        <v>617</v>
      </c>
      <c r="C2" s="13" t="s">
        <v>618</v>
      </c>
      <c r="D2" s="13" t="s">
        <v>672</v>
      </c>
      <c r="E2" s="13" t="str">
        <f>C2</f>
        <v>SAP by Design</v>
      </c>
      <c r="F2" s="5" t="s">
        <v>719</v>
      </c>
      <c r="G2" s="13" t="s">
        <v>762</v>
      </c>
      <c r="H2" s="13" t="s">
        <v>46</v>
      </c>
      <c r="I2" s="4" t="s">
        <v>47</v>
      </c>
      <c r="J2" s="4"/>
      <c r="K2" s="12" t="str">
        <f>Stakeholders!E2</f>
        <v>RENZO ALFREDO HUAYLLASCO CÁCERES</v>
      </c>
      <c r="L2" s="4" t="s">
        <v>41</v>
      </c>
      <c r="M2" s="4" t="s">
        <v>29</v>
      </c>
      <c r="N2" s="3" t="s">
        <v>55</v>
      </c>
      <c r="O2" s="3" t="str">
        <f ca="1">LOOKUP(C2,[2]APMT_Detalle!$B$82:$B$521,[2]APMT_Detalle!$S$2:$S$521)</f>
        <v>Santander Digital Services</v>
      </c>
      <c r="P2" s="4"/>
      <c r="Q2" s="4"/>
      <c r="R2" s="12" t="str">
        <f>LOOKUP(C2,[2]APMT_Detalle!$B$2:$B$521,[2]APMT_Detalle!$AP$2:$AP$521)</f>
        <v>External</v>
      </c>
      <c r="FY2" s="3" t="s">
        <v>24</v>
      </c>
      <c r="GB2" s="3" t="s">
        <v>25</v>
      </c>
      <c r="GC2" s="3" t="s">
        <v>26</v>
      </c>
      <c r="GD2" s="3" t="s">
        <v>27</v>
      </c>
      <c r="GE2" s="3" t="s">
        <v>28</v>
      </c>
      <c r="GF2" s="3" t="s">
        <v>29</v>
      </c>
      <c r="GG2" s="3" t="s">
        <v>30</v>
      </c>
    </row>
    <row r="3" spans="1:189" ht="29">
      <c r="B3" s="12" t="s">
        <v>617</v>
      </c>
      <c r="C3" s="12" t="s">
        <v>622</v>
      </c>
      <c r="D3" s="13" t="s">
        <v>675</v>
      </c>
      <c r="E3" s="13" t="str">
        <f t="shared" ref="E3:E66" si="0">C3</f>
        <v>App Surgir</v>
      </c>
      <c r="F3" s="6" t="s">
        <v>722</v>
      </c>
      <c r="G3" s="12" t="s">
        <v>25</v>
      </c>
      <c r="H3" s="13" t="s">
        <v>39</v>
      </c>
      <c r="I3" s="3" t="s">
        <v>53</v>
      </c>
      <c r="K3" s="12" t="str">
        <f>Stakeholders!E3</f>
        <v>RENZO ALFREDO HUAYLLASCO CÁCERES</v>
      </c>
      <c r="L3" s="3" t="s">
        <v>54</v>
      </c>
      <c r="N3" s="3" t="s">
        <v>55</v>
      </c>
      <c r="O3" s="3" t="e">
        <f>LOOKUP(C3,[2]APMT_Detalle!$B$82:$B$521,[2]APMT_Detalle!$S$2:$S$521)</f>
        <v>#N/A</v>
      </c>
      <c r="R3" s="12" t="str">
        <f>LOOKUP(C3,[2]APMT_Detalle!$B$2:$B$521,[2]APMT_Detalle!$AP$2:$AP$521)</f>
        <v>External</v>
      </c>
      <c r="FY3" s="3" t="s">
        <v>31</v>
      </c>
      <c r="GB3" s="3" t="s">
        <v>32</v>
      </c>
      <c r="GC3" s="3" t="s">
        <v>33</v>
      </c>
      <c r="GD3" s="3" t="s">
        <v>34</v>
      </c>
      <c r="GE3" s="3" t="s">
        <v>35</v>
      </c>
      <c r="GF3" s="3" t="s">
        <v>36</v>
      </c>
      <c r="GG3" s="3" t="s">
        <v>37</v>
      </c>
    </row>
    <row r="4" spans="1:189" ht="72.5">
      <c r="B4" s="12" t="s">
        <v>617</v>
      </c>
      <c r="C4" s="12" t="s">
        <v>626</v>
      </c>
      <c r="D4" s="13" t="s">
        <v>678</v>
      </c>
      <c r="E4" s="13" t="str">
        <f t="shared" si="0"/>
        <v>App Cliente</v>
      </c>
      <c r="F4" s="6" t="s">
        <v>725</v>
      </c>
      <c r="G4" s="12" t="s">
        <v>25</v>
      </c>
      <c r="H4" s="13" t="s">
        <v>39</v>
      </c>
      <c r="I4" s="3" t="s">
        <v>47</v>
      </c>
      <c r="K4" s="12" t="str">
        <f>Stakeholders!E4</f>
        <v>YELTSIN ANTONY ALAN SOTELO CAMONES</v>
      </c>
      <c r="L4" s="3" t="s">
        <v>54</v>
      </c>
      <c r="N4" s="3" t="s">
        <v>55</v>
      </c>
      <c r="O4" s="3" t="e">
        <f>LOOKUP(C4,[2]APMT_Detalle!$B$82:$B$521,[2]APMT_Detalle!$S$2:$S$521)</f>
        <v>#N/A</v>
      </c>
      <c r="R4" s="12" t="str">
        <f>LOOKUP(C4,[2]APMT_Detalle!$B$2:$B$521,[2]APMT_Detalle!$AP$2:$AP$521)</f>
        <v>External</v>
      </c>
      <c r="FY4" s="3" t="s">
        <v>38</v>
      </c>
      <c r="GB4" s="3" t="s">
        <v>761</v>
      </c>
      <c r="GC4" s="3" t="s">
        <v>39</v>
      </c>
      <c r="GD4" s="3" t="s">
        <v>40</v>
      </c>
      <c r="GE4" s="3" t="s">
        <v>41</v>
      </c>
      <c r="GF4" s="3" t="s">
        <v>42</v>
      </c>
      <c r="GG4" s="3" t="s">
        <v>43</v>
      </c>
    </row>
    <row r="5" spans="1:189" ht="87">
      <c r="B5" s="12" t="s">
        <v>617</v>
      </c>
      <c r="C5" s="12" t="s">
        <v>645</v>
      </c>
      <c r="D5" s="12" t="s">
        <v>822</v>
      </c>
      <c r="E5" s="13" t="str">
        <f t="shared" si="0"/>
        <v>AMLUpdate - Name Screening</v>
      </c>
      <c r="F5" s="6" t="s">
        <v>852</v>
      </c>
      <c r="G5" s="12" t="s">
        <v>759</v>
      </c>
      <c r="H5" s="13" t="s">
        <v>758</v>
      </c>
      <c r="I5" s="4"/>
      <c r="K5" s="12" t="str">
        <f>Stakeholders!E5</f>
        <v>RENZO ALFREDO HUAYLLASCO CÁCERES</v>
      </c>
      <c r="L5" s="3" t="s">
        <v>41</v>
      </c>
      <c r="N5" s="3" t="s">
        <v>55</v>
      </c>
      <c r="O5" s="3" t="s">
        <v>900</v>
      </c>
      <c r="R5" s="12" t="e">
        <f>LOOKUP(C5,[2]APMT_Detalle!$B$2:$B$521,[2]APMT_Detalle!$AP$2:$AP$521)</f>
        <v>#N/A</v>
      </c>
      <c r="FY5" s="3" t="s">
        <v>44</v>
      </c>
      <c r="GB5" s="3" t="s">
        <v>762</v>
      </c>
      <c r="GC5" s="3" t="s">
        <v>46</v>
      </c>
      <c r="GD5" s="3" t="s">
        <v>47</v>
      </c>
      <c r="GE5" s="3" t="s">
        <v>45</v>
      </c>
      <c r="GF5" s="3" t="s">
        <v>48</v>
      </c>
      <c r="GG5" s="3" t="s">
        <v>49</v>
      </c>
    </row>
    <row r="6" spans="1:189" ht="58">
      <c r="B6" s="12" t="s">
        <v>617</v>
      </c>
      <c r="C6" s="12" t="s">
        <v>628</v>
      </c>
      <c r="D6" s="12" t="s">
        <v>707</v>
      </c>
      <c r="E6" s="13" t="str">
        <f t="shared" si="0"/>
        <v>Portal Web Público</v>
      </c>
      <c r="F6" s="6" t="s">
        <v>748</v>
      </c>
      <c r="G6" s="12" t="s">
        <v>25</v>
      </c>
      <c r="H6" s="13" t="s">
        <v>758</v>
      </c>
      <c r="I6" s="4"/>
      <c r="K6" s="12" t="str">
        <f>Stakeholders!E6</f>
        <v>RENZO ALFREDO HUAYLLASCO CÁCERES</v>
      </c>
      <c r="L6" s="3" t="s">
        <v>54</v>
      </c>
      <c r="N6" s="3" t="s">
        <v>55</v>
      </c>
      <c r="O6" s="3" t="str">
        <f ca="1">LOOKUP(C6,[2]APMT_Detalle!$B$82:$B$521,[2]APMT_Detalle!$S$2:$S$521)</f>
        <v>Santander Digital Services</v>
      </c>
      <c r="R6" s="12" t="str">
        <f>LOOKUP(C6,[2]APMT_Detalle!$B$2:$B$521,[2]APMT_Detalle!$AP$2:$AP$521)</f>
        <v>Internal Cloud</v>
      </c>
      <c r="FY6" s="3" t="s">
        <v>50</v>
      </c>
      <c r="GB6" s="3" t="s">
        <v>759</v>
      </c>
      <c r="GC6" s="3" t="s">
        <v>52</v>
      </c>
      <c r="GD6" s="3" t="s">
        <v>53</v>
      </c>
      <c r="GE6" s="3" t="s">
        <v>54</v>
      </c>
      <c r="GF6" s="3" t="s">
        <v>45</v>
      </c>
      <c r="GG6" s="3" t="s">
        <v>55</v>
      </c>
    </row>
    <row r="7" spans="1:189" ht="29">
      <c r="B7" s="12" t="s">
        <v>617</v>
      </c>
      <c r="C7" s="12" t="s">
        <v>796</v>
      </c>
      <c r="D7" s="12" t="s">
        <v>823</v>
      </c>
      <c r="E7" s="13" t="str">
        <f t="shared" si="0"/>
        <v>Anura</v>
      </c>
      <c r="F7" s="6" t="s">
        <v>853</v>
      </c>
      <c r="G7" s="12" t="s">
        <v>25</v>
      </c>
      <c r="H7" s="13" t="s">
        <v>46</v>
      </c>
      <c r="I7" s="4"/>
      <c r="K7" s="12" t="str">
        <f>Stakeholders!E7</f>
        <v>RENZO ALFREDO HUAYLLASCO CÁCERES</v>
      </c>
      <c r="L7" s="3" t="s">
        <v>28</v>
      </c>
      <c r="N7" s="3" t="s">
        <v>55</v>
      </c>
      <c r="O7" s="3" t="e">
        <f>LOOKUP(C7,[2]APMT_Detalle!$B$82:$B$521,[2]APMT_Detalle!$S$2:$S$521)</f>
        <v>#N/A</v>
      </c>
      <c r="R7" s="12" t="str">
        <f>LOOKUP(C7,[2]APMT_Detalle!$B$2:$B$521,[2]APMT_Detalle!$AP$2:$AP$521)</f>
        <v>External</v>
      </c>
      <c r="FY7" s="3" t="s">
        <v>56</v>
      </c>
      <c r="GB7" s="3" t="s">
        <v>760</v>
      </c>
      <c r="GC7" s="3" t="s">
        <v>57</v>
      </c>
      <c r="GF7" s="3" t="s">
        <v>51</v>
      </c>
      <c r="GG7" s="3" t="s">
        <v>58</v>
      </c>
    </row>
    <row r="8" spans="1:189" s="11" customFormat="1" ht="87">
      <c r="B8" s="12" t="s">
        <v>617</v>
      </c>
      <c r="C8" s="12" t="s">
        <v>653</v>
      </c>
      <c r="D8" s="12" t="s">
        <v>708</v>
      </c>
      <c r="E8" s="13" t="str">
        <f t="shared" si="0"/>
        <v>ERP Contanet</v>
      </c>
      <c r="F8" s="14" t="s">
        <v>749</v>
      </c>
      <c r="G8" s="12" t="s">
        <v>762</v>
      </c>
      <c r="H8" s="13" t="s">
        <v>46</v>
      </c>
      <c r="I8" s="15"/>
      <c r="K8" s="12" t="str">
        <f>Stakeholders!E8</f>
        <v>RENZO ALFREDO HUAYLLASCO CÁCERES</v>
      </c>
      <c r="L8" s="11" t="s">
        <v>54</v>
      </c>
      <c r="N8" s="3" t="s">
        <v>55</v>
      </c>
      <c r="O8" s="3" t="str">
        <f ca="1">LOOKUP(C8,[2]APMT_Detalle!$B$82:$B$521,[2]APMT_Detalle!$S$2:$S$521)</f>
        <v>Vector</v>
      </c>
      <c r="R8" s="12" t="str">
        <f>LOOKUP(C8,[2]APMT_Detalle!$B$2:$B$521,[2]APMT_Detalle!$AP$2:$AP$521)</f>
        <v>Internal Cloud</v>
      </c>
      <c r="FY8" s="11" t="s">
        <v>59</v>
      </c>
      <c r="GC8" s="11" t="s">
        <v>758</v>
      </c>
      <c r="GG8" s="11" t="s">
        <v>60</v>
      </c>
    </row>
    <row r="9" spans="1:189" ht="43.5">
      <c r="B9" s="12" t="s">
        <v>617</v>
      </c>
      <c r="C9" s="12" t="s">
        <v>654</v>
      </c>
      <c r="D9" s="12" t="s">
        <v>709</v>
      </c>
      <c r="E9" s="13" t="str">
        <f t="shared" si="0"/>
        <v>Datalake</v>
      </c>
      <c r="F9" s="6" t="s">
        <v>750</v>
      </c>
      <c r="G9" s="12" t="s">
        <v>25</v>
      </c>
      <c r="H9" s="13" t="s">
        <v>39</v>
      </c>
      <c r="K9" s="12" t="str">
        <f>Stakeholders!E9</f>
        <v>RENZO ALFREDO HUAYLLASCO CÁCERES</v>
      </c>
      <c r="L9" s="3" t="s">
        <v>54</v>
      </c>
      <c r="N9" s="3" t="s">
        <v>55</v>
      </c>
      <c r="O9" s="3" t="str">
        <f ca="1">LOOKUP(C9,[2]APMT_Detalle!$B$82:$B$521,[2]APMT_Detalle!$S$2:$S$521)</f>
        <v>Santander Digital Services</v>
      </c>
      <c r="R9" s="12" t="str">
        <f>LOOKUP(C9,[2]APMT_Detalle!$B$2:$B$521,[2]APMT_Detalle!$AP$2:$AP$521)</f>
        <v>External</v>
      </c>
      <c r="FY9" s="3" t="s">
        <v>61</v>
      </c>
    </row>
    <row r="10" spans="1:189" ht="101.5">
      <c r="B10" s="12" t="s">
        <v>617</v>
      </c>
      <c r="C10" s="12" t="s">
        <v>655</v>
      </c>
      <c r="D10" s="12" t="s">
        <v>710</v>
      </c>
      <c r="E10" s="13" t="str">
        <f t="shared" si="0"/>
        <v>Cobis</v>
      </c>
      <c r="F10" s="5" t="s">
        <v>751</v>
      </c>
      <c r="G10" s="12" t="s">
        <v>761</v>
      </c>
      <c r="H10" s="13" t="s">
        <v>39</v>
      </c>
      <c r="I10" s="4"/>
      <c r="K10" s="12" t="str">
        <f>Stakeholders!E10</f>
        <v>RENZO ALFREDO HUAYLLASCO CÁCERES</v>
      </c>
      <c r="L10" s="3" t="s">
        <v>41</v>
      </c>
      <c r="N10" s="3" t="s">
        <v>55</v>
      </c>
      <c r="O10" s="3" t="str">
        <f ca="1">LOOKUP(C10,[2]APMT_Detalle!$B$82:$B$521,[2]APMT_Detalle!$S$2:$S$521)</f>
        <v>Sentinel Peru</v>
      </c>
      <c r="R10" s="12" t="str">
        <f>LOOKUP(C10,[2]APMT_Detalle!$B$2:$B$521,[2]APMT_Detalle!$AP$2:$AP$521)</f>
        <v>External</v>
      </c>
      <c r="FY10" s="3" t="s">
        <v>62</v>
      </c>
    </row>
    <row r="11" spans="1:189" ht="43.5">
      <c r="B11" s="12" t="s">
        <v>627</v>
      </c>
      <c r="C11" s="12" t="s">
        <v>797</v>
      </c>
      <c r="D11" s="12" t="s">
        <v>824</v>
      </c>
      <c r="E11" s="13" t="str">
        <f t="shared" si="0"/>
        <v>Emblue</v>
      </c>
      <c r="F11" s="6" t="s">
        <v>854</v>
      </c>
      <c r="G11" s="12" t="s">
        <v>25</v>
      </c>
      <c r="H11" s="13" t="s">
        <v>57</v>
      </c>
      <c r="I11" s="4"/>
      <c r="K11" s="12" t="str">
        <f>Stakeholders!E11</f>
        <v>Luis Alberto Barandiaran</v>
      </c>
      <c r="L11" s="3" t="s">
        <v>41</v>
      </c>
      <c r="N11" s="3" t="s">
        <v>55</v>
      </c>
      <c r="O11" s="3" t="str">
        <f ca="1">LOOKUP(C11,[2]APMT_Detalle!$B$82:$B$521,[2]APMT_Detalle!$S$2:$S$521)</f>
        <v>Vector</v>
      </c>
      <c r="R11" s="12" t="str">
        <f>LOOKUP(C11,[2]APMT_Detalle!$B$2:$B$521,[2]APMT_Detalle!$AP$2:$AP$521)</f>
        <v>Internal Cloud</v>
      </c>
      <c r="FY11" s="3" t="s">
        <v>63</v>
      </c>
    </row>
    <row r="12" spans="1:189" ht="43.5">
      <c r="B12" s="12" t="s">
        <v>627</v>
      </c>
      <c r="C12" s="12" t="s">
        <v>798</v>
      </c>
      <c r="D12" s="12" t="s">
        <v>825</v>
      </c>
      <c r="E12" s="13" t="str">
        <f t="shared" si="0"/>
        <v>Facephi</v>
      </c>
      <c r="F12" s="6" t="s">
        <v>855</v>
      </c>
      <c r="G12" s="12" t="s">
        <v>25</v>
      </c>
      <c r="H12" s="13" t="s">
        <v>57</v>
      </c>
      <c r="I12" s="4"/>
      <c r="K12" s="12" t="str">
        <f>Stakeholders!E12</f>
        <v>Luis Alberto Barandiaran</v>
      </c>
      <c r="L12" s="3" t="s">
        <v>41</v>
      </c>
      <c r="N12" s="3" t="s">
        <v>55</v>
      </c>
      <c r="O12" s="3" t="str">
        <f ca="1">LOOKUP(C12,[2]APMT_Detalle!$B$82:$B$521,[2]APMT_Detalle!$S$2:$S$521)</f>
        <v>Vector</v>
      </c>
      <c r="R12" s="12" t="str">
        <f>LOOKUP(C12,[2]APMT_Detalle!$B$2:$B$521,[2]APMT_Detalle!$AP$2:$AP$521)</f>
        <v>On Premises</v>
      </c>
      <c r="FY12" s="3" t="s">
        <v>64</v>
      </c>
    </row>
    <row r="13" spans="1:189" ht="29">
      <c r="B13" s="12" t="s">
        <v>627</v>
      </c>
      <c r="C13" s="12" t="s">
        <v>799</v>
      </c>
      <c r="D13" s="12" t="s">
        <v>826</v>
      </c>
      <c r="E13" s="13" t="str">
        <f t="shared" si="0"/>
        <v>Mapfre</v>
      </c>
      <c r="F13" s="6" t="s">
        <v>856</v>
      </c>
      <c r="G13" s="12" t="s">
        <v>25</v>
      </c>
      <c r="H13" s="13" t="s">
        <v>46</v>
      </c>
      <c r="K13" s="12" t="str">
        <f>Stakeholders!E13</f>
        <v>LUIS BOULLON GARCIA</v>
      </c>
      <c r="L13" s="3" t="s">
        <v>54</v>
      </c>
      <c r="N13" s="3" t="s">
        <v>55</v>
      </c>
      <c r="O13" s="3" t="str">
        <f ca="1">LOOKUP(C13,[2]APMT_Detalle!$B$82:$B$521,[2]APMT_Detalle!$S$2:$S$521)</f>
        <v>Externo</v>
      </c>
      <c r="R13" s="12" t="str">
        <f>LOOKUP(C13,[2]APMT_Detalle!$B$2:$B$521,[2]APMT_Detalle!$AP$2:$AP$521)</f>
        <v>On Premises</v>
      </c>
      <c r="FY13" s="3" t="s">
        <v>65</v>
      </c>
    </row>
    <row r="14" spans="1:189" ht="29">
      <c r="B14" s="12" t="s">
        <v>627</v>
      </c>
      <c r="C14" s="12" t="s">
        <v>800</v>
      </c>
      <c r="D14" s="12" t="s">
        <v>827</v>
      </c>
      <c r="E14" s="13" t="str">
        <f t="shared" si="0"/>
        <v>Tracklink</v>
      </c>
      <c r="F14" s="6" t="s">
        <v>857</v>
      </c>
      <c r="G14" s="12" t="s">
        <v>25</v>
      </c>
      <c r="H14" s="13" t="s">
        <v>57</v>
      </c>
      <c r="K14" s="12" t="str">
        <f>Stakeholders!E14</f>
        <v>LUIS BOULLON GARCIA</v>
      </c>
      <c r="L14" s="3" t="s">
        <v>41</v>
      </c>
      <c r="N14" s="3" t="s">
        <v>55</v>
      </c>
      <c r="O14" s="3" t="str">
        <f ca="1">LOOKUP(C14,[2]APMT_Detalle!$B$82:$B$521,[2]APMT_Detalle!$S$2:$S$521)</f>
        <v>MICROSOFT</v>
      </c>
      <c r="R14" s="12" t="str">
        <f>LOOKUP(C14,[2]APMT_Detalle!$B$2:$B$521,[2]APMT_Detalle!$AP$2:$AP$521)</f>
        <v>Internal Cloud</v>
      </c>
    </row>
    <row r="15" spans="1:189" ht="29">
      <c r="B15" s="12" t="s">
        <v>627</v>
      </c>
      <c r="C15" s="12" t="s">
        <v>668</v>
      </c>
      <c r="D15" s="12" t="s">
        <v>828</v>
      </c>
      <c r="E15" s="13" t="str">
        <f t="shared" si="0"/>
        <v>Docuclass</v>
      </c>
      <c r="F15" s="6" t="s">
        <v>858</v>
      </c>
      <c r="G15" s="12" t="s">
        <v>25</v>
      </c>
      <c r="H15" s="13" t="s">
        <v>758</v>
      </c>
      <c r="K15" s="12" t="str">
        <f>Stakeholders!E15</f>
        <v>LUIS BOULLON GARCIA</v>
      </c>
      <c r="L15" s="3" t="s">
        <v>54</v>
      </c>
      <c r="N15" s="3" t="s">
        <v>55</v>
      </c>
      <c r="O15" s="3" t="str">
        <f ca="1">LOOKUP(C15,[2]APMT_Detalle!$B$82:$B$521,[2]APMT_Detalle!$S$2:$S$521)</f>
        <v>Santander Digital Services</v>
      </c>
      <c r="R15" s="12" t="str">
        <f>LOOKUP(C15,[2]APMT_Detalle!$B$2:$B$521,[2]APMT_Detalle!$AP$2:$AP$521)</f>
        <v>External</v>
      </c>
    </row>
    <row r="16" spans="1:189">
      <c r="B16" s="12" t="s">
        <v>627</v>
      </c>
      <c r="C16" s="12" t="s">
        <v>669</v>
      </c>
      <c r="D16" s="12" t="s">
        <v>829</v>
      </c>
      <c r="E16" s="13" t="str">
        <f t="shared" si="0"/>
        <v>Diloo</v>
      </c>
      <c r="F16" s="6" t="s">
        <v>859</v>
      </c>
      <c r="G16" s="12" t="s">
        <v>32</v>
      </c>
      <c r="H16" s="13" t="s">
        <v>57</v>
      </c>
      <c r="K16" s="12" t="str">
        <f>Stakeholders!E16</f>
        <v>LUIS BOULLON GARCIA</v>
      </c>
      <c r="L16" s="3" t="s">
        <v>41</v>
      </c>
      <c r="N16" s="3" t="s">
        <v>55</v>
      </c>
      <c r="O16" s="3" t="str">
        <f ca="1">LOOKUP(C16,[2]APMT_Detalle!$B$82:$B$521,[2]APMT_Detalle!$S$2:$S$521)</f>
        <v>Santander Digital Services</v>
      </c>
      <c r="R16" s="12" t="str">
        <f>LOOKUP(C16,[2]APMT_Detalle!$B$2:$B$521,[2]APMT_Detalle!$AP$2:$AP$521)</f>
        <v>External</v>
      </c>
    </row>
    <row r="17" spans="2:18">
      <c r="B17" s="12" t="s">
        <v>627</v>
      </c>
      <c r="C17" s="12" t="s">
        <v>801</v>
      </c>
      <c r="D17" s="12" t="s">
        <v>830</v>
      </c>
      <c r="E17" s="13" t="str">
        <f t="shared" si="0"/>
        <v>Izipay Pagos en línea</v>
      </c>
      <c r="F17" s="6" t="s">
        <v>860</v>
      </c>
      <c r="G17" s="12" t="s">
        <v>25</v>
      </c>
      <c r="H17" s="13" t="s">
        <v>39</v>
      </c>
      <c r="K17" s="12" t="str">
        <f>Stakeholders!E17</f>
        <v>Luis Alberto Barandiaran</v>
      </c>
      <c r="L17" s="3" t="s">
        <v>35</v>
      </c>
      <c r="N17" s="3" t="s">
        <v>55</v>
      </c>
      <c r="O17" s="3" t="str">
        <f ca="1">LOOKUP(C17,[2]APMT_Detalle!$B$82:$B$521,[2]APMT_Detalle!$S$2:$S$521)</f>
        <v>Externo</v>
      </c>
      <c r="R17" s="12" t="str">
        <f>LOOKUP(C17,[2]APMT_Detalle!$B$2:$B$521,[2]APMT_Detalle!$AP$2:$AP$521)</f>
        <v>On Premises</v>
      </c>
    </row>
    <row r="18" spans="2:18" ht="29">
      <c r="B18" s="12" t="s">
        <v>627</v>
      </c>
      <c r="C18" s="12" t="s">
        <v>802</v>
      </c>
      <c r="D18" s="12" t="s">
        <v>831</v>
      </c>
      <c r="E18" s="13" t="str">
        <f t="shared" si="0"/>
        <v>IBK Recaudación</v>
      </c>
      <c r="F18" s="6" t="s">
        <v>861</v>
      </c>
      <c r="G18" s="12" t="s">
        <v>25</v>
      </c>
      <c r="H18" s="13" t="s">
        <v>758</v>
      </c>
      <c r="K18" s="12" t="str">
        <f>Stakeholders!E18</f>
        <v>Luis Alberto Barandiaran</v>
      </c>
      <c r="L18" s="3" t="s">
        <v>35</v>
      </c>
      <c r="N18" s="3" t="s">
        <v>55</v>
      </c>
      <c r="O18" s="3" t="str">
        <f ca="1">LOOKUP(C18,[2]APMT_Detalle!$B$82:$B$521,[2]APMT_Detalle!$S$2:$S$521)</f>
        <v>Externo</v>
      </c>
      <c r="R18" s="12" t="str">
        <f>LOOKUP(C18,[2]APMT_Detalle!$B$2:$B$521,[2]APMT_Detalle!$AP$2:$AP$521)</f>
        <v>On Premises</v>
      </c>
    </row>
    <row r="19" spans="2:18" ht="58">
      <c r="B19" s="12" t="s">
        <v>627</v>
      </c>
      <c r="C19" s="12" t="s">
        <v>618</v>
      </c>
      <c r="D19" s="12" t="s">
        <v>832</v>
      </c>
      <c r="E19" s="13" t="str">
        <f t="shared" si="0"/>
        <v>SAP by Design</v>
      </c>
      <c r="F19" s="6" t="s">
        <v>719</v>
      </c>
      <c r="G19" s="12" t="s">
        <v>759</v>
      </c>
      <c r="H19" s="13" t="s">
        <v>46</v>
      </c>
      <c r="K19" s="12" t="str">
        <f>Stakeholders!E19</f>
        <v>Luis Alberto Barandiaran</v>
      </c>
      <c r="L19" s="3" t="s">
        <v>41</v>
      </c>
      <c r="N19" s="3" t="s">
        <v>55</v>
      </c>
      <c r="O19" s="3" t="str">
        <f ca="1">LOOKUP(C19,[2]APMT_Detalle!$B$82:$B$521,[2]APMT_Detalle!$S$2:$S$521)</f>
        <v>Santander Digital Services</v>
      </c>
      <c r="R19" s="12" t="str">
        <f>LOOKUP(C19,[2]APMT_Detalle!$B$2:$B$521,[2]APMT_Detalle!$AP$2:$AP$521)</f>
        <v>External</v>
      </c>
    </row>
    <row r="20" spans="2:18" ht="58">
      <c r="B20" s="12" t="s">
        <v>627</v>
      </c>
      <c r="C20" s="12" t="s">
        <v>628</v>
      </c>
      <c r="D20" s="12" t="s">
        <v>679</v>
      </c>
      <c r="E20" s="13" t="str">
        <f t="shared" si="0"/>
        <v>Portal Web Público</v>
      </c>
      <c r="F20" s="6" t="s">
        <v>726</v>
      </c>
      <c r="G20" s="12" t="s">
        <v>759</v>
      </c>
      <c r="H20" s="13" t="s">
        <v>758</v>
      </c>
      <c r="K20" s="12" t="str">
        <f>Stakeholders!E20</f>
        <v>Luis Alberto Barandiaran</v>
      </c>
      <c r="L20" s="3" t="s">
        <v>54</v>
      </c>
      <c r="N20" s="3" t="s">
        <v>55</v>
      </c>
      <c r="O20" s="3" t="str">
        <f ca="1">LOOKUP(C20,[2]APMT_Detalle!$B$82:$B$521,[2]APMT_Detalle!$S$2:$S$521)</f>
        <v>Santander Digital Services</v>
      </c>
      <c r="R20" s="12" t="str">
        <f>LOOKUP(C20,[2]APMT_Detalle!$B$2:$B$521,[2]APMT_Detalle!$AP$2:$AP$521)</f>
        <v>Internal Cloud</v>
      </c>
    </row>
    <row r="21" spans="2:18" ht="101.5">
      <c r="B21" s="12" t="s">
        <v>627</v>
      </c>
      <c r="C21" s="12" t="s">
        <v>645</v>
      </c>
      <c r="D21" s="12" t="s">
        <v>833</v>
      </c>
      <c r="E21" s="13" t="str">
        <f t="shared" si="0"/>
        <v>AMLUpdate - Name Screening</v>
      </c>
      <c r="F21" s="6" t="s">
        <v>862</v>
      </c>
      <c r="G21" s="12" t="s">
        <v>25</v>
      </c>
      <c r="H21" s="13" t="s">
        <v>46</v>
      </c>
      <c r="K21" s="12" t="str">
        <f>Stakeholders!E21</f>
        <v>ALONSO GUILLERMO SERRANO CARMONA</v>
      </c>
      <c r="L21" s="3" t="s">
        <v>54</v>
      </c>
      <c r="N21" s="3" t="s">
        <v>55</v>
      </c>
      <c r="O21" s="3" t="s">
        <v>900</v>
      </c>
      <c r="R21" s="12" t="e">
        <f>LOOKUP(C21,[2]APMT_Detalle!$B$2:$B$521,[2]APMT_Detalle!$AP$2:$AP$521)</f>
        <v>#N/A</v>
      </c>
    </row>
    <row r="22" spans="2:18" ht="203">
      <c r="B22" s="12" t="s">
        <v>627</v>
      </c>
      <c r="C22" s="12" t="s">
        <v>643</v>
      </c>
      <c r="D22" s="12" t="s">
        <v>696</v>
      </c>
      <c r="E22" s="13" t="str">
        <f t="shared" si="0"/>
        <v>Santo</v>
      </c>
      <c r="F22" s="6" t="s">
        <v>863</v>
      </c>
      <c r="G22" s="12" t="s">
        <v>25</v>
      </c>
      <c r="H22" s="13" t="s">
        <v>39</v>
      </c>
      <c r="K22" s="12" t="str">
        <f>Stakeholders!E22</f>
        <v>LUIS BOULLON GARCIA</v>
      </c>
      <c r="L22" s="3" t="s">
        <v>35</v>
      </c>
      <c r="N22" s="3" t="s">
        <v>55</v>
      </c>
      <c r="O22" s="3" t="str">
        <f ca="1">LOOKUP(C22,[2]APMT_Detalle!$B$82:$B$521,[2]APMT_Detalle!$S$2:$S$521)</f>
        <v>Santander Digital Services</v>
      </c>
      <c r="R22" s="12" t="str">
        <f>LOOKUP(C22,[2]APMT_Detalle!$B$2:$B$521,[2]APMT_Detalle!$AP$2:$AP$521)</f>
        <v>External</v>
      </c>
    </row>
    <row r="23" spans="2:18">
      <c r="B23" s="12" t="s">
        <v>648</v>
      </c>
      <c r="C23" s="12" t="s">
        <v>649</v>
      </c>
      <c r="D23" s="12" t="s">
        <v>702</v>
      </c>
      <c r="E23" s="13" t="str">
        <f t="shared" si="0"/>
        <v>Nuevo Office Banking</v>
      </c>
      <c r="F23" s="6" t="s">
        <v>743</v>
      </c>
      <c r="G23" s="12" t="s">
        <v>32</v>
      </c>
      <c r="H23" s="13" t="s">
        <v>46</v>
      </c>
      <c r="I23" s="4"/>
      <c r="K23" s="12" t="str">
        <f>Stakeholders!E23</f>
        <v>ALFREDO LLONA ARIS</v>
      </c>
      <c r="L23" s="3" t="s">
        <v>54</v>
      </c>
      <c r="N23" s="3" t="s">
        <v>55</v>
      </c>
      <c r="O23" s="3" t="str">
        <f ca="1">LOOKUP(C23,[2]APMT_Detalle!$B$82:$B$521,[2]APMT_Detalle!$S$2:$S$521)</f>
        <v>Externo</v>
      </c>
      <c r="R23" s="12" t="str">
        <f>LOOKUP(C23,[2]APMT_Detalle!$B$2:$B$521,[2]APMT_Detalle!$AP$2:$AP$521)</f>
        <v>On Premises</v>
      </c>
    </row>
    <row r="24" spans="2:18" ht="29">
      <c r="B24" s="12" t="s">
        <v>648</v>
      </c>
      <c r="C24" s="12" t="s">
        <v>656</v>
      </c>
      <c r="D24" s="12" t="s">
        <v>711</v>
      </c>
      <c r="E24" s="13" t="str">
        <f t="shared" si="0"/>
        <v>CEEFFC</v>
      </c>
      <c r="F24" s="6" t="s">
        <v>752</v>
      </c>
      <c r="G24" s="12" t="s">
        <v>759</v>
      </c>
      <c r="H24" s="13" t="s">
        <v>758</v>
      </c>
      <c r="I24" s="4"/>
      <c r="K24" s="12" t="str">
        <f>Stakeholders!E24</f>
        <v>LUIS CONTRERAS AVILA</v>
      </c>
      <c r="L24" s="3" t="s">
        <v>54</v>
      </c>
      <c r="N24" s="3" t="s">
        <v>55</v>
      </c>
      <c r="O24" s="3" t="e">
        <f>LOOKUP(C24,[2]APMT_Detalle!$B$82:$B$521,[2]APMT_Detalle!$S$2:$S$521)</f>
        <v>#N/A</v>
      </c>
      <c r="R24" s="12" t="str">
        <f>LOOKUP(C24,[2]APMT_Detalle!$B$2:$B$521,[2]APMT_Detalle!$AP$2:$AP$521)</f>
        <v>External</v>
      </c>
    </row>
    <row r="25" spans="2:18">
      <c r="B25" s="12" t="s">
        <v>648</v>
      </c>
      <c r="C25" s="12" t="s">
        <v>803</v>
      </c>
      <c r="D25" s="12" t="s">
        <v>834</v>
      </c>
      <c r="E25" s="13" t="str">
        <f t="shared" si="0"/>
        <v>Lbtr</v>
      </c>
      <c r="F25" s="6" t="s">
        <v>864</v>
      </c>
      <c r="G25" s="12" t="s">
        <v>25</v>
      </c>
      <c r="H25" s="13" t="s">
        <v>758</v>
      </c>
      <c r="K25" s="12" t="str">
        <f>Stakeholders!E25</f>
        <v>ALFREDO LLONA ARIS</v>
      </c>
      <c r="L25" s="3" t="s">
        <v>41</v>
      </c>
      <c r="N25" s="3" t="s">
        <v>55</v>
      </c>
      <c r="O25" s="3" t="str">
        <f ca="1">LOOKUP(C25,[2]APMT_Detalle!$B$82:$B$521,[2]APMT_Detalle!$S$2:$S$521)</f>
        <v>Externo</v>
      </c>
      <c r="R25" s="12" t="str">
        <f>LOOKUP(C25,[2]APMT_Detalle!$B$2:$B$521,[2]APMT_Detalle!$AP$2:$AP$521)</f>
        <v>On Premises</v>
      </c>
    </row>
    <row r="26" spans="2:18" ht="188.5">
      <c r="B26" s="12" t="s">
        <v>648</v>
      </c>
      <c r="C26" s="12" t="s">
        <v>660</v>
      </c>
      <c r="D26" s="12" t="s">
        <v>715</v>
      </c>
      <c r="E26" s="13" t="str">
        <f t="shared" si="0"/>
        <v>Cash Nexus</v>
      </c>
      <c r="F26" s="6" t="s">
        <v>755</v>
      </c>
      <c r="G26" s="12" t="s">
        <v>25</v>
      </c>
      <c r="H26" s="13" t="s">
        <v>39</v>
      </c>
      <c r="I26" s="4"/>
      <c r="K26" s="12" t="str">
        <f>Stakeholders!E26</f>
        <v>ALEXANDRA DIAZ FIGUEROA</v>
      </c>
      <c r="L26" s="3" t="s">
        <v>54</v>
      </c>
      <c r="N26" s="3" t="s">
        <v>55</v>
      </c>
      <c r="O26" s="3" t="s">
        <v>901</v>
      </c>
      <c r="R26" s="12" t="str">
        <f>LOOKUP(C26,[2]APMT_Detalle!$B$2:$B$521,[2]APMT_Detalle!$AP$2:$AP$521)</f>
        <v>External</v>
      </c>
    </row>
    <row r="27" spans="2:18" ht="29">
      <c r="B27" s="12" t="s">
        <v>648</v>
      </c>
      <c r="C27" s="12" t="s">
        <v>661</v>
      </c>
      <c r="D27" s="12" t="s">
        <v>716</v>
      </c>
      <c r="E27" s="13" t="str">
        <f t="shared" si="0"/>
        <v>Host to Host</v>
      </c>
      <c r="F27" s="6" t="s">
        <v>756</v>
      </c>
      <c r="G27" s="12" t="s">
        <v>25</v>
      </c>
      <c r="H27" s="13" t="s">
        <v>758</v>
      </c>
      <c r="I27" s="4"/>
      <c r="K27" s="12" t="str">
        <f>Stakeholders!E27</f>
        <v>JAVIER SAVAGE ZIMMERMANN</v>
      </c>
      <c r="L27" s="3" t="s">
        <v>54</v>
      </c>
      <c r="N27" s="3" t="s">
        <v>55</v>
      </c>
      <c r="O27" s="3" t="str">
        <f ca="1">LOOKUP(C27,[2]APMT_Detalle!$B$82:$B$521,[2]APMT_Detalle!$S$2:$S$521)</f>
        <v>Externo</v>
      </c>
      <c r="R27" s="12" t="str">
        <f>LOOKUP(C27,[2]APMT_Detalle!$B$2:$B$521,[2]APMT_Detalle!$AP$2:$AP$521)</f>
        <v>On Premises</v>
      </c>
    </row>
    <row r="28" spans="2:18" ht="43.5">
      <c r="B28" s="12" t="s">
        <v>648</v>
      </c>
      <c r="C28" s="12" t="s">
        <v>662</v>
      </c>
      <c r="D28" s="12" t="s">
        <v>717</v>
      </c>
      <c r="E28" s="13" t="str">
        <f t="shared" si="0"/>
        <v>Sistema Office Banking</v>
      </c>
      <c r="F28" s="6" t="s">
        <v>865</v>
      </c>
      <c r="G28" s="12" t="s">
        <v>762</v>
      </c>
      <c r="H28" s="13" t="s">
        <v>39</v>
      </c>
      <c r="K28" s="12" t="str">
        <f>Stakeholders!E28</f>
        <v>ALEXANDRA DIAZ FIGUEROA</v>
      </c>
      <c r="L28" s="3" t="s">
        <v>54</v>
      </c>
      <c r="N28" s="3" t="s">
        <v>55</v>
      </c>
      <c r="O28" s="3" t="str">
        <f ca="1">LOOKUP(C28,[2]APMT_Detalle!$B$82:$B$521,[2]APMT_Detalle!$S$2:$S$521)</f>
        <v>MICROSOFT</v>
      </c>
      <c r="R28" s="12" t="str">
        <f>LOOKUP(C28,[2]APMT_Detalle!$B$2:$B$521,[2]APMT_Detalle!$AP$2:$AP$521)</f>
        <v>External</v>
      </c>
    </row>
    <row r="29" spans="2:18" ht="29">
      <c r="B29" s="12" t="s">
        <v>623</v>
      </c>
      <c r="C29" s="12" t="s">
        <v>669</v>
      </c>
      <c r="D29" s="12" t="s">
        <v>835</v>
      </c>
      <c r="E29" s="13" t="str">
        <f t="shared" si="0"/>
        <v>Diloo</v>
      </c>
      <c r="F29" s="6" t="s">
        <v>866</v>
      </c>
      <c r="G29" s="12" t="s">
        <v>32</v>
      </c>
      <c r="H29" s="13" t="s">
        <v>57</v>
      </c>
      <c r="K29" s="12" t="str">
        <f>Stakeholders!E29</f>
        <v>LUIS BOULLON GARCIA</v>
      </c>
      <c r="N29" s="3" t="s">
        <v>55</v>
      </c>
      <c r="O29" s="3" t="str">
        <f ca="1">LOOKUP(C29,[2]APMT_Detalle!$B$82:$B$521,[2]APMT_Detalle!$S$2:$S$521)</f>
        <v>Santander Digital Services</v>
      </c>
      <c r="R29" s="12" t="str">
        <f>LOOKUP(C29,[2]APMT_Detalle!$B$2:$B$521,[2]APMT_Detalle!$AP$2:$AP$521)</f>
        <v>External</v>
      </c>
    </row>
    <row r="30" spans="2:18" ht="29">
      <c r="B30" s="12" t="s">
        <v>623</v>
      </c>
      <c r="C30" s="12" t="s">
        <v>624</v>
      </c>
      <c r="D30" s="12" t="s">
        <v>676</v>
      </c>
      <c r="E30" s="13" t="str">
        <f t="shared" si="0"/>
        <v>Plataforma de Facturacion Electronica</v>
      </c>
      <c r="F30" s="6" t="s">
        <v>723</v>
      </c>
      <c r="G30" s="12" t="s">
        <v>761</v>
      </c>
      <c r="H30" s="13" t="s">
        <v>758</v>
      </c>
      <c r="I30" s="4"/>
      <c r="K30" s="12" t="str">
        <f>Stakeholders!E30</f>
        <v>JULIO EDUARDO NIÑO SUAREZ</v>
      </c>
      <c r="L30" s="3" t="s">
        <v>54</v>
      </c>
      <c r="N30" s="3" t="s">
        <v>55</v>
      </c>
      <c r="O30" s="3" t="str">
        <f ca="1">LOOKUP(C30,[2]APMT_Detalle!$B$82:$B$521,[2]APMT_Detalle!$S$2:$S$521)</f>
        <v>Santander Digital Services</v>
      </c>
      <c r="R30" s="12" t="str">
        <f>LOOKUP(C30,[2]APMT_Detalle!$B$2:$B$521,[2]APMT_Detalle!$AP$2:$AP$521)</f>
        <v>On Premises</v>
      </c>
    </row>
    <row r="31" spans="2:18" ht="43.5">
      <c r="B31" s="12" t="s">
        <v>623</v>
      </c>
      <c r="C31" s="12" t="s">
        <v>625</v>
      </c>
      <c r="D31" s="12" t="s">
        <v>677</v>
      </c>
      <c r="E31" s="13" t="str">
        <f t="shared" si="0"/>
        <v>Contáctanos</v>
      </c>
      <c r="F31" s="6" t="s">
        <v>724</v>
      </c>
      <c r="G31" s="12" t="s">
        <v>25</v>
      </c>
      <c r="H31" s="13" t="s">
        <v>52</v>
      </c>
      <c r="I31" s="4"/>
      <c r="K31" s="12" t="str">
        <f>Stakeholders!E31</f>
        <v>RENZO ALFREDO HUAYLLASCO CÁCERES</v>
      </c>
      <c r="L31" s="3" t="s">
        <v>54</v>
      </c>
      <c r="N31" s="3" t="s">
        <v>55</v>
      </c>
      <c r="O31" s="3" t="str">
        <f ca="1">LOOKUP(C31,[2]APMT_Detalle!$B$82:$B$521,[2]APMT_Detalle!$S$2:$S$521)</f>
        <v>Santander Digital Services</v>
      </c>
      <c r="R31" s="12" t="str">
        <f>LOOKUP(C31,[2]APMT_Detalle!$B$2:$B$521,[2]APMT_Detalle!$AP$2:$AP$521)</f>
        <v>External</v>
      </c>
    </row>
    <row r="32" spans="2:18">
      <c r="B32" s="12" t="s">
        <v>623</v>
      </c>
      <c r="C32" s="12" t="s">
        <v>804</v>
      </c>
      <c r="D32" s="12" t="s">
        <v>836</v>
      </c>
      <c r="E32" s="13" t="str">
        <f t="shared" si="0"/>
        <v>Visor Cobranzas</v>
      </c>
      <c r="F32" s="6" t="s">
        <v>867</v>
      </c>
      <c r="G32" s="12" t="s">
        <v>25</v>
      </c>
      <c r="H32" s="13" t="s">
        <v>52</v>
      </c>
      <c r="I32" s="4"/>
      <c r="K32" s="12">
        <f>Stakeholders!E32</f>
        <v>0</v>
      </c>
      <c r="L32" s="3" t="s">
        <v>54</v>
      </c>
      <c r="N32" s="3" t="s">
        <v>55</v>
      </c>
      <c r="O32" s="3" t="str">
        <f ca="1">LOOKUP(C32,[2]APMT_Detalle!$B$82:$B$521,[2]APMT_Detalle!$S$2:$S$521)</f>
        <v>Santander Global Banking (GBM)</v>
      </c>
      <c r="R32" s="12" t="str">
        <f>LOOKUP(C32,[2]APMT_Detalle!$B$2:$B$521,[2]APMT_Detalle!$AP$2:$AP$521)</f>
        <v>Internal Cloud</v>
      </c>
    </row>
    <row r="33" spans="2:18" ht="130.5">
      <c r="B33" s="12" t="s">
        <v>623</v>
      </c>
      <c r="C33" s="12" t="s">
        <v>805</v>
      </c>
      <c r="D33" s="12" t="s">
        <v>837</v>
      </c>
      <c r="E33" s="13" t="str">
        <f t="shared" si="0"/>
        <v>Api Market</v>
      </c>
      <c r="F33" s="6" t="s">
        <v>868</v>
      </c>
      <c r="G33" s="12" t="s">
        <v>25</v>
      </c>
      <c r="H33" s="13" t="s">
        <v>39</v>
      </c>
      <c r="I33" s="4"/>
      <c r="K33" s="12" t="str">
        <f>Stakeholders!E33</f>
        <v>RENZO ALFREDO HUAYLLASCO CÁCERES</v>
      </c>
      <c r="L33" s="3" t="s">
        <v>54</v>
      </c>
      <c r="N33" s="3" t="s">
        <v>55</v>
      </c>
      <c r="O33" s="3" t="e">
        <f>LOOKUP(C33,[2]APMT_Detalle!$B$82:$B$521,[2]APMT_Detalle!$S$2:$S$521)</f>
        <v>#N/A</v>
      </c>
      <c r="R33" s="12" t="str">
        <f>LOOKUP(C33,[2]APMT_Detalle!$B$2:$B$521,[2]APMT_Detalle!$AP$2:$AP$521)</f>
        <v>External</v>
      </c>
    </row>
    <row r="34" spans="2:18" ht="101.5">
      <c r="B34" s="12" t="s">
        <v>623</v>
      </c>
      <c r="C34" s="12" t="s">
        <v>645</v>
      </c>
      <c r="D34" s="12" t="s">
        <v>838</v>
      </c>
      <c r="E34" s="13" t="str">
        <f t="shared" si="0"/>
        <v>AMLUpdate - Name Screening</v>
      </c>
      <c r="F34" s="6" t="s">
        <v>869</v>
      </c>
      <c r="G34" s="12" t="s">
        <v>762</v>
      </c>
      <c r="H34" s="13" t="s">
        <v>46</v>
      </c>
      <c r="I34" s="4"/>
      <c r="K34" s="12" t="str">
        <f>Stakeholders!E34</f>
        <v>LUIS BOULLON GARCIA</v>
      </c>
      <c r="L34" s="3" t="s">
        <v>54</v>
      </c>
      <c r="N34" s="3" t="s">
        <v>55</v>
      </c>
      <c r="O34" s="3" t="s">
        <v>900</v>
      </c>
      <c r="R34" s="12" t="e">
        <f>LOOKUP(C34,[2]APMT_Detalle!$B$2:$B$521,[2]APMT_Detalle!$AP$2:$AP$521)</f>
        <v>#N/A</v>
      </c>
    </row>
    <row r="35" spans="2:18" ht="130.5">
      <c r="B35" s="12" t="s">
        <v>623</v>
      </c>
      <c r="C35" s="12" t="s">
        <v>806</v>
      </c>
      <c r="D35" s="12" t="s">
        <v>839</v>
      </c>
      <c r="E35" s="13" t="str">
        <f t="shared" si="0"/>
        <v>Facturación Electrónica - Auto</v>
      </c>
      <c r="F35" s="6" t="s">
        <v>870</v>
      </c>
      <c r="G35" s="12" t="s">
        <v>759</v>
      </c>
      <c r="H35" s="13" t="s">
        <v>758</v>
      </c>
      <c r="I35" s="4"/>
      <c r="K35" s="12" t="str">
        <f>Stakeholders!E35</f>
        <v>LUIS BOULLON GARCIA</v>
      </c>
      <c r="L35" s="3" t="s">
        <v>54</v>
      </c>
      <c r="N35" s="3" t="s">
        <v>55</v>
      </c>
      <c r="O35" s="3" t="str">
        <f ca="1">LOOKUP(C35,[2]APMT_Detalle!$B$82:$B$521,[2]APMT_Detalle!$S$2:$S$521)</f>
        <v>Vector</v>
      </c>
      <c r="R35" s="12" t="str">
        <f>LOOKUP(C35,[2]APMT_Detalle!$B$2:$B$521,[2]APMT_Detalle!$AP$2:$AP$521)</f>
        <v>On Premises</v>
      </c>
    </row>
    <row r="36" spans="2:18" ht="116">
      <c r="B36" s="12" t="s">
        <v>623</v>
      </c>
      <c r="C36" s="12" t="s">
        <v>628</v>
      </c>
      <c r="D36" s="12" t="s">
        <v>700</v>
      </c>
      <c r="E36" s="13" t="str">
        <f t="shared" si="0"/>
        <v>Portal Web Público</v>
      </c>
      <c r="F36" s="6" t="s">
        <v>741</v>
      </c>
      <c r="G36" s="12" t="s">
        <v>759</v>
      </c>
      <c r="H36" s="13" t="s">
        <v>758</v>
      </c>
      <c r="I36" s="4"/>
      <c r="K36" s="12" t="str">
        <f>Stakeholders!E36</f>
        <v>LUIS BOULLON GARCIA</v>
      </c>
      <c r="L36" s="3" t="s">
        <v>54</v>
      </c>
      <c r="N36" s="3" t="s">
        <v>55</v>
      </c>
      <c r="O36" s="3" t="str">
        <f ca="1">LOOKUP(C36,[2]APMT_Detalle!$B$82:$B$521,[2]APMT_Detalle!$S$2:$S$521)</f>
        <v>Santander Digital Services</v>
      </c>
      <c r="R36" s="12" t="str">
        <f>LOOKUP(C36,[2]APMT_Detalle!$B$2:$B$521,[2]APMT_Detalle!$AP$2:$AP$521)</f>
        <v>Internal Cloud</v>
      </c>
    </row>
    <row r="37" spans="2:18" ht="58">
      <c r="B37" s="12" t="s">
        <v>623</v>
      </c>
      <c r="C37" s="12" t="s">
        <v>807</v>
      </c>
      <c r="D37" s="12" t="s">
        <v>703</v>
      </c>
      <c r="E37" s="13" t="str">
        <f t="shared" si="0"/>
        <v>SAP ByDesign - ERP</v>
      </c>
      <c r="F37" s="6" t="s">
        <v>744</v>
      </c>
      <c r="G37" s="12" t="s">
        <v>25</v>
      </c>
      <c r="H37" s="13" t="s">
        <v>39</v>
      </c>
      <c r="K37" s="12" t="str">
        <f>Stakeholders!E37</f>
        <v>LUIS BOULLON GARCIA</v>
      </c>
      <c r="L37" s="3" t="s">
        <v>41</v>
      </c>
      <c r="N37" s="3" t="s">
        <v>55</v>
      </c>
      <c r="O37" s="3" t="str">
        <f ca="1">LOOKUP(C37,[2]APMT_Detalle!$B$82:$B$521,[2]APMT_Detalle!$S$2:$S$521)</f>
        <v>Santander Digital Services</v>
      </c>
      <c r="R37" s="12" t="str">
        <f>LOOKUP(C37,[2]APMT_Detalle!$B$2:$B$521,[2]APMT_Detalle!$AP$2:$AP$521)</f>
        <v>External</v>
      </c>
    </row>
    <row r="38" spans="2:18" ht="43.5">
      <c r="B38" s="12" t="s">
        <v>623</v>
      </c>
      <c r="C38" s="12" t="s">
        <v>650</v>
      </c>
      <c r="D38" s="12" t="s">
        <v>704</v>
      </c>
      <c r="E38" s="13" t="str">
        <f t="shared" si="0"/>
        <v>Bantotal - Core Bancario</v>
      </c>
      <c r="F38" s="6" t="s">
        <v>745</v>
      </c>
      <c r="G38" s="12" t="s">
        <v>762</v>
      </c>
      <c r="H38" s="13" t="s">
        <v>39</v>
      </c>
      <c r="K38" s="12" t="str">
        <f>Stakeholders!E38</f>
        <v>LUIS BOULLON GARCIA</v>
      </c>
      <c r="L38" s="3" t="s">
        <v>41</v>
      </c>
      <c r="N38" s="3" t="s">
        <v>55</v>
      </c>
      <c r="O38" s="3" t="s">
        <v>903</v>
      </c>
      <c r="R38" s="12" t="str">
        <f>LOOKUP(C38,[2]APMT_Detalle!$B$2:$B$521,[2]APMT_Detalle!$AP$2:$AP$521)</f>
        <v>External</v>
      </c>
    </row>
    <row r="39" spans="2:18" ht="29">
      <c r="B39" s="12" t="s">
        <v>623</v>
      </c>
      <c r="C39" s="12" t="s">
        <v>651</v>
      </c>
      <c r="D39" s="12" t="s">
        <v>705</v>
      </c>
      <c r="E39" s="13" t="str">
        <f t="shared" si="0"/>
        <v>Motor de Crédito</v>
      </c>
      <c r="F39" s="6" t="s">
        <v>746</v>
      </c>
      <c r="G39" s="12" t="s">
        <v>25</v>
      </c>
      <c r="H39" s="13" t="s">
        <v>758</v>
      </c>
      <c r="I39" s="4"/>
      <c r="K39" s="12" t="str">
        <f>Stakeholders!E39</f>
        <v>LUIS BOULLON GARCIA</v>
      </c>
      <c r="L39" s="3" t="s">
        <v>54</v>
      </c>
      <c r="N39" s="3" t="s">
        <v>55</v>
      </c>
      <c r="O39" s="3" t="str">
        <f ca="1">LOOKUP(C39,[2]APMT_Detalle!$B$82:$B$521,[2]APMT_Detalle!$S$2:$S$521)</f>
        <v>Externo</v>
      </c>
      <c r="R39" s="12" t="str">
        <f>LOOKUP(C39,[2]APMT_Detalle!$B$2:$B$521,[2]APMT_Detalle!$AP$2:$AP$521)</f>
        <v>On Premises</v>
      </c>
    </row>
    <row r="40" spans="2:18" ht="43.5">
      <c r="B40" s="12" t="s">
        <v>623</v>
      </c>
      <c r="C40" s="12" t="s">
        <v>652</v>
      </c>
      <c r="D40" s="12" t="s">
        <v>706</v>
      </c>
      <c r="E40" s="13" t="str">
        <f t="shared" si="0"/>
        <v>Santi</v>
      </c>
      <c r="F40" s="6" t="s">
        <v>747</v>
      </c>
      <c r="G40" s="12" t="s">
        <v>25</v>
      </c>
      <c r="H40" s="13" t="s">
        <v>758</v>
      </c>
      <c r="K40" s="12" t="str">
        <f>Stakeholders!E40</f>
        <v>LUIS BOULLON GARCIA</v>
      </c>
      <c r="L40" s="3" t="s">
        <v>54</v>
      </c>
      <c r="N40" s="3" t="s">
        <v>55</v>
      </c>
      <c r="O40" s="3" t="str">
        <f ca="1">LOOKUP(C40,[2]APMT_Detalle!$B$82:$B$521,[2]APMT_Detalle!$S$2:$S$521)</f>
        <v>Santander Digital Services</v>
      </c>
      <c r="R40" s="12" t="str">
        <f>LOOKUP(C40,[2]APMT_Detalle!$B$2:$B$521,[2]APMT_Detalle!$AP$2:$AP$521)</f>
        <v>External</v>
      </c>
    </row>
    <row r="41" spans="2:18" ht="43.5">
      <c r="B41" s="12" t="s">
        <v>623</v>
      </c>
      <c r="C41" s="12" t="s">
        <v>808</v>
      </c>
      <c r="D41" s="12" t="s">
        <v>840</v>
      </c>
      <c r="E41" s="13" t="str">
        <f t="shared" si="0"/>
        <v>Seguros La Positiva</v>
      </c>
      <c r="F41" s="6" t="s">
        <v>871</v>
      </c>
      <c r="G41" s="12" t="s">
        <v>25</v>
      </c>
      <c r="H41" s="13" t="s">
        <v>758</v>
      </c>
      <c r="K41" s="12" t="str">
        <f>Stakeholders!E41</f>
        <v>LUIS BOULLON GARCIA</v>
      </c>
      <c r="L41" s="3" t="s">
        <v>54</v>
      </c>
      <c r="N41" s="3" t="s">
        <v>55</v>
      </c>
      <c r="O41" s="3" t="str">
        <f ca="1">LOOKUP(C41,[2]APMT_Detalle!$B$82:$B$521,[2]APMT_Detalle!$S$2:$S$521)</f>
        <v>Santander Digital Services</v>
      </c>
      <c r="R41" s="12" t="str">
        <f>LOOKUP(C41,[2]APMT_Detalle!$B$2:$B$521,[2]APMT_Detalle!$AP$2:$AP$521)</f>
        <v>External</v>
      </c>
    </row>
    <row r="42" spans="2:18" ht="43.5">
      <c r="B42" s="12" t="s">
        <v>623</v>
      </c>
      <c r="C42" s="12" t="s">
        <v>809</v>
      </c>
      <c r="D42" s="12" t="s">
        <v>841</v>
      </c>
      <c r="E42" s="13" t="str">
        <f t="shared" si="0"/>
        <v>Equifax</v>
      </c>
      <c r="F42" s="6" t="s">
        <v>872</v>
      </c>
      <c r="G42" s="12" t="s">
        <v>25</v>
      </c>
      <c r="H42" s="13" t="s">
        <v>46</v>
      </c>
      <c r="K42" s="12" t="str">
        <f>Stakeholders!E42</f>
        <v>Darwin Curisinche Rojas</v>
      </c>
      <c r="L42" s="3" t="s">
        <v>54</v>
      </c>
      <c r="N42" s="3" t="s">
        <v>55</v>
      </c>
      <c r="O42" s="3" t="str">
        <f ca="1">LOOKUP(C42,[2]APMT_Detalle!$B$82:$B$521,[2]APMT_Detalle!$S$2:$S$521)</f>
        <v>Vector</v>
      </c>
      <c r="R42" s="12" t="str">
        <f>LOOKUP(C42,[2]APMT_Detalle!$B$2:$B$521,[2]APMT_Detalle!$AP$2:$AP$521)</f>
        <v>Internal Cloud</v>
      </c>
    </row>
    <row r="43" spans="2:18" ht="29">
      <c r="B43" s="12" t="s">
        <v>623</v>
      </c>
      <c r="C43" s="12" t="s">
        <v>668</v>
      </c>
      <c r="D43" s="12" t="s">
        <v>842</v>
      </c>
      <c r="E43" s="13" t="str">
        <f t="shared" si="0"/>
        <v>Docuclass</v>
      </c>
      <c r="F43" s="6" t="s">
        <v>873</v>
      </c>
      <c r="G43" s="12" t="s">
        <v>759</v>
      </c>
      <c r="H43" s="13" t="s">
        <v>758</v>
      </c>
      <c r="K43" s="12" t="str">
        <f>Stakeholders!E43</f>
        <v>LUIS BOULLON GARCIA</v>
      </c>
      <c r="L43" s="3" t="s">
        <v>35</v>
      </c>
      <c r="N43" s="3" t="s">
        <v>55</v>
      </c>
      <c r="O43" s="3" t="str">
        <f ca="1">LOOKUP(C43,[2]APMT_Detalle!$B$82:$B$521,[2]APMT_Detalle!$S$2:$S$521)</f>
        <v>Santander Digital Services</v>
      </c>
      <c r="R43" s="12" t="str">
        <f>LOOKUP(C43,[2]APMT_Detalle!$B$2:$B$521,[2]APMT_Detalle!$AP$2:$AP$521)</f>
        <v>External</v>
      </c>
    </row>
    <row r="44" spans="2:18" ht="43.5">
      <c r="B44" s="12" t="s">
        <v>623</v>
      </c>
      <c r="C44" s="12" t="s">
        <v>658</v>
      </c>
      <c r="D44" s="12" t="s">
        <v>713</v>
      </c>
      <c r="E44" s="13" t="str">
        <f t="shared" si="0"/>
        <v>Seir</v>
      </c>
      <c r="F44" s="6" t="s">
        <v>753</v>
      </c>
      <c r="H44" s="13" t="s">
        <v>39</v>
      </c>
      <c r="I44" s="4"/>
      <c r="K44" s="12" t="str">
        <f>Stakeholders!E44</f>
        <v>LUIS BOULLON GARCIA</v>
      </c>
      <c r="N44" s="3" t="s">
        <v>55</v>
      </c>
      <c r="O44" s="3" t="str">
        <f ca="1">LOOKUP(C44,[2]APMT_Detalle!$B$82:$B$521,[2]APMT_Detalle!$S$2:$S$521)</f>
        <v>Santander Digital Services</v>
      </c>
      <c r="R44" s="12" t="str">
        <f>LOOKUP(C44,[2]APMT_Detalle!$B$2:$B$521,[2]APMT_Detalle!$AP$2:$AP$521)</f>
        <v>External</v>
      </c>
    </row>
    <row r="45" spans="2:18">
      <c r="B45" s="12" t="s">
        <v>623</v>
      </c>
      <c r="C45" s="12" t="s">
        <v>810</v>
      </c>
      <c r="E45" s="13" t="str">
        <f t="shared" si="0"/>
        <v>Pomelo</v>
      </c>
      <c r="F45" s="6" t="s">
        <v>874</v>
      </c>
      <c r="G45" s="12" t="s">
        <v>25</v>
      </c>
      <c r="H45" s="13" t="s">
        <v>758</v>
      </c>
      <c r="I45" s="4"/>
      <c r="K45" s="12">
        <f>Stakeholders!E45</f>
        <v>0</v>
      </c>
      <c r="N45" s="3" t="s">
        <v>55</v>
      </c>
      <c r="O45" s="3" t="str">
        <f ca="1">LOOKUP(C45,[2]APMT_Detalle!$B$82:$B$521,[2]APMT_Detalle!$S$2:$S$521)</f>
        <v>Santander Digital Services</v>
      </c>
      <c r="R45" s="12" t="str">
        <f>LOOKUP(C45,[2]APMT_Detalle!$B$2:$B$521,[2]APMT_Detalle!$AP$2:$AP$521)</f>
        <v>On Premises</v>
      </c>
    </row>
    <row r="46" spans="2:18">
      <c r="B46" s="12" t="s">
        <v>623</v>
      </c>
      <c r="C46" s="12" t="s">
        <v>811</v>
      </c>
      <c r="E46" s="13" t="str">
        <f t="shared" si="0"/>
        <v>Izypay</v>
      </c>
      <c r="F46" s="6" t="s">
        <v>875</v>
      </c>
      <c r="G46" s="12" t="s">
        <v>759</v>
      </c>
      <c r="H46" s="13" t="s">
        <v>758</v>
      </c>
      <c r="I46" s="4"/>
      <c r="K46" s="12">
        <f>Stakeholders!E46</f>
        <v>0</v>
      </c>
      <c r="L46" s="3" t="s">
        <v>35</v>
      </c>
      <c r="N46" s="3" t="s">
        <v>55</v>
      </c>
      <c r="O46" s="3" t="str">
        <f ca="1">LOOKUP(C46,[2]APMT_Detalle!$B$82:$B$521,[2]APMT_Detalle!$S$2:$S$521)</f>
        <v>Externo</v>
      </c>
      <c r="R46" s="12" t="str">
        <f>LOOKUP(C46,[2]APMT_Detalle!$B$2:$B$521,[2]APMT_Detalle!$AP$2:$AP$521)</f>
        <v>On Premises</v>
      </c>
    </row>
    <row r="47" spans="2:18">
      <c r="B47" s="12" t="s">
        <v>623</v>
      </c>
      <c r="C47" s="12" t="s">
        <v>812</v>
      </c>
      <c r="E47" s="13" t="str">
        <f t="shared" si="0"/>
        <v>Kasnet</v>
      </c>
      <c r="F47" s="6" t="s">
        <v>876</v>
      </c>
      <c r="G47" s="12" t="s">
        <v>759</v>
      </c>
      <c r="H47" s="13" t="s">
        <v>758</v>
      </c>
      <c r="I47" s="4"/>
      <c r="K47" s="12">
        <f>Stakeholders!E47</f>
        <v>0</v>
      </c>
      <c r="L47" s="3" t="s">
        <v>35</v>
      </c>
      <c r="N47" s="3" t="s">
        <v>55</v>
      </c>
      <c r="O47" s="3" t="str">
        <f ca="1">LOOKUP(C47,[2]APMT_Detalle!$B$82:$B$521,[2]APMT_Detalle!$S$2:$S$521)</f>
        <v>Externo</v>
      </c>
      <c r="R47" s="12" t="str">
        <f>LOOKUP(C47,[2]APMT_Detalle!$B$2:$B$521,[2]APMT_Detalle!$AP$2:$AP$521)</f>
        <v>On Premises</v>
      </c>
    </row>
    <row r="48" spans="2:18">
      <c r="B48" s="12" t="s">
        <v>623</v>
      </c>
      <c r="C48" s="12" t="s">
        <v>670</v>
      </c>
      <c r="E48" s="13" t="str">
        <f t="shared" si="0"/>
        <v>ChatBot</v>
      </c>
      <c r="F48" s="6" t="s">
        <v>877</v>
      </c>
      <c r="G48" s="12" t="s">
        <v>32</v>
      </c>
      <c r="H48" s="13" t="s">
        <v>46</v>
      </c>
      <c r="I48" s="4"/>
      <c r="K48" s="12">
        <f>Stakeholders!E48</f>
        <v>0</v>
      </c>
      <c r="N48" s="3" t="s">
        <v>55</v>
      </c>
      <c r="O48" s="3" t="e">
        <f>LOOKUP(C48,[2]APMT_Detalle!$B$82:$B$521,[2]APMT_Detalle!$S$2:$S$521)</f>
        <v>#N/A</v>
      </c>
      <c r="R48" s="12" t="str">
        <f>LOOKUP(C48,[2]APMT_Detalle!$B$2:$B$521,[2]APMT_Detalle!$AP$2:$AP$521)</f>
        <v>External</v>
      </c>
    </row>
    <row r="49" spans="2:18">
      <c r="B49" s="12" t="s">
        <v>623</v>
      </c>
      <c r="C49" s="12" t="s">
        <v>667</v>
      </c>
      <c r="E49" s="13" t="str">
        <f t="shared" si="0"/>
        <v>Data Riesgos</v>
      </c>
      <c r="F49" s="6"/>
      <c r="H49" s="13" t="s">
        <v>39</v>
      </c>
      <c r="K49" s="12">
        <f>Stakeholders!E49</f>
        <v>0</v>
      </c>
      <c r="N49" s="3" t="s">
        <v>55</v>
      </c>
      <c r="O49" s="3" t="str">
        <f ca="1">LOOKUP(C49,[2]APMT_Detalle!$B$82:$B$521,[2]APMT_Detalle!$S$2:$S$521)</f>
        <v>Santander Digital Services</v>
      </c>
      <c r="R49" s="12" t="str">
        <f>LOOKUP(C49,[2]APMT_Detalle!$B$2:$B$521,[2]APMT_Detalle!$AP$2:$AP$521)</f>
        <v>External</v>
      </c>
    </row>
    <row r="50" spans="2:18">
      <c r="B50" s="12" t="s">
        <v>623</v>
      </c>
      <c r="C50" s="12" t="s">
        <v>664</v>
      </c>
      <c r="E50" s="13" t="str">
        <f t="shared" si="0"/>
        <v>API OTP</v>
      </c>
      <c r="F50" s="6"/>
      <c r="G50" s="12" t="s">
        <v>759</v>
      </c>
      <c r="H50" s="13" t="s">
        <v>39</v>
      </c>
      <c r="I50" s="4"/>
      <c r="K50" s="12">
        <f>Stakeholders!E50</f>
        <v>0</v>
      </c>
      <c r="L50" s="3" t="s">
        <v>54</v>
      </c>
      <c r="N50" s="3" t="s">
        <v>55</v>
      </c>
      <c r="O50" s="3" t="s">
        <v>899</v>
      </c>
      <c r="R50" s="12" t="str">
        <f>LOOKUP(C50,[2]APMT_Detalle!$B$2:$B$521,[2]APMT_Detalle!$AP$2:$AP$521)</f>
        <v>External</v>
      </c>
    </row>
    <row r="51" spans="2:18">
      <c r="B51" s="12" t="s">
        <v>623</v>
      </c>
      <c r="C51" s="12" t="s">
        <v>665</v>
      </c>
      <c r="E51" s="13" t="str">
        <f t="shared" si="0"/>
        <v>API Portal</v>
      </c>
      <c r="F51" s="6"/>
      <c r="G51" s="12" t="s">
        <v>759</v>
      </c>
      <c r="H51" s="13" t="s">
        <v>39</v>
      </c>
      <c r="K51" s="12">
        <f>Stakeholders!E51</f>
        <v>0</v>
      </c>
      <c r="L51" s="3" t="s">
        <v>54</v>
      </c>
      <c r="N51" s="3" t="s">
        <v>55</v>
      </c>
      <c r="O51" s="3" t="s">
        <v>899</v>
      </c>
      <c r="R51" s="12" t="str">
        <f>LOOKUP(C51,[2]APMT_Detalle!$B$2:$B$521,[2]APMT_Detalle!$AP$2:$AP$521)</f>
        <v>External</v>
      </c>
    </row>
    <row r="52" spans="2:18">
      <c r="B52" s="12" t="s">
        <v>623</v>
      </c>
      <c r="C52" s="12" t="s">
        <v>666</v>
      </c>
      <c r="E52" s="13" t="str">
        <f t="shared" si="0"/>
        <v>Venta Cartera</v>
      </c>
      <c r="F52" s="6"/>
      <c r="G52" s="12" t="s">
        <v>759</v>
      </c>
      <c r="H52" s="13" t="s">
        <v>39</v>
      </c>
      <c r="K52" s="12">
        <f>Stakeholders!E52</f>
        <v>0</v>
      </c>
      <c r="L52" s="3" t="s">
        <v>54</v>
      </c>
      <c r="N52" s="3" t="s">
        <v>55</v>
      </c>
      <c r="O52" s="3" t="str">
        <f ca="1">LOOKUP(C52,[2]APMT_Detalle!$B$82:$B$521,[2]APMT_Detalle!$S$2:$S$521)</f>
        <v>MICROSOFT</v>
      </c>
      <c r="R52" s="12" t="str">
        <f>LOOKUP(C52,[2]APMT_Detalle!$B$2:$B$521,[2]APMT_Detalle!$AP$2:$AP$521)</f>
        <v>Internal Cloud</v>
      </c>
    </row>
    <row r="53" spans="2:18" ht="58">
      <c r="B53" s="12" t="s">
        <v>619</v>
      </c>
      <c r="C53" s="12" t="s">
        <v>620</v>
      </c>
      <c r="D53" s="12" t="s">
        <v>673</v>
      </c>
      <c r="E53" s="13" t="str">
        <f t="shared" si="0"/>
        <v>Virtual Assistant P&amp;C</v>
      </c>
      <c r="F53" s="6" t="s">
        <v>720</v>
      </c>
      <c r="H53" s="13" t="s">
        <v>39</v>
      </c>
      <c r="K53" s="12" t="str">
        <f>Stakeholders!E53</f>
        <v>ADOLFO UNDA LAZARO</v>
      </c>
      <c r="N53" s="3" t="s">
        <v>55</v>
      </c>
      <c r="O53" s="3" t="str">
        <f ca="1">LOOKUP(C53,[2]APMT_Detalle!$B$82:$B$521,[2]APMT_Detalle!$S$2:$S$521)</f>
        <v>MICROSOFT</v>
      </c>
      <c r="R53" s="12" t="str">
        <f>LOOKUP(C53,[2]APMT_Detalle!$B$2:$B$521,[2]APMT_Detalle!$AP$2:$AP$521)</f>
        <v>Internal Cloud</v>
      </c>
    </row>
    <row r="54" spans="2:18" ht="29">
      <c r="B54" s="12" t="s">
        <v>619</v>
      </c>
      <c r="C54" s="12" t="s">
        <v>813</v>
      </c>
      <c r="D54" s="12" t="s">
        <v>843</v>
      </c>
      <c r="E54" s="13" t="str">
        <f t="shared" si="0"/>
        <v>Masterbase</v>
      </c>
      <c r="F54" s="6" t="s">
        <v>878</v>
      </c>
      <c r="G54" s="12" t="s">
        <v>759</v>
      </c>
      <c r="H54" s="13" t="s">
        <v>46</v>
      </c>
      <c r="I54" s="4"/>
      <c r="K54" s="12" t="str">
        <f>Stakeholders!E54</f>
        <v>ALFREDO LLONA ARIS</v>
      </c>
      <c r="L54" s="3" t="s">
        <v>54</v>
      </c>
      <c r="N54" s="3" t="s">
        <v>55</v>
      </c>
      <c r="O54" s="3" t="str">
        <f ca="1">LOOKUP(C54,[2]APMT_Detalle!$B$82:$B$521,[2]APMT_Detalle!$S$2:$S$521)</f>
        <v>Externo</v>
      </c>
      <c r="R54" s="12" t="str">
        <f>LOOKUP(C54,[2]APMT_Detalle!$B$2:$B$521,[2]APMT_Detalle!$AP$2:$AP$521)</f>
        <v>On Premises</v>
      </c>
    </row>
    <row r="55" spans="2:18" ht="29">
      <c r="B55" s="12" t="s">
        <v>619</v>
      </c>
      <c r="C55" s="12" t="s">
        <v>621</v>
      </c>
      <c r="D55" s="12" t="s">
        <v>674</v>
      </c>
      <c r="E55" s="13" t="str">
        <f t="shared" si="0"/>
        <v>Data Analytics</v>
      </c>
      <c r="F55" s="6" t="s">
        <v>721</v>
      </c>
      <c r="G55" s="12" t="s">
        <v>759</v>
      </c>
      <c r="H55" s="13" t="s">
        <v>46</v>
      </c>
      <c r="K55" s="12" t="str">
        <f>Stakeholders!E55</f>
        <v>ALFREDO LLONA ARIS</v>
      </c>
      <c r="L55" s="3" t="s">
        <v>54</v>
      </c>
      <c r="N55" s="3" t="s">
        <v>55</v>
      </c>
      <c r="O55" s="3" t="str">
        <f ca="1">LOOKUP(C55,[2]APMT_Detalle!$B$82:$B$521,[2]APMT_Detalle!$S$2:$S$521)</f>
        <v>Santander Digital Services</v>
      </c>
      <c r="R55" s="12" t="str">
        <f>LOOKUP(C55,[2]APMT_Detalle!$B$2:$B$521,[2]APMT_Detalle!$AP$2:$AP$521)</f>
        <v>External</v>
      </c>
    </row>
    <row r="56" spans="2:18" ht="391.5">
      <c r="B56" s="12" t="s">
        <v>619</v>
      </c>
      <c r="C56" s="12" t="s">
        <v>671</v>
      </c>
      <c r="D56" s="12" t="s">
        <v>844</v>
      </c>
      <c r="E56" s="13" t="str">
        <f t="shared" si="0"/>
        <v>Gestión Portafolio PMO</v>
      </c>
      <c r="F56" s="6" t="s">
        <v>879</v>
      </c>
      <c r="G56" s="12" t="s">
        <v>25</v>
      </c>
      <c r="H56" s="13" t="s">
        <v>46</v>
      </c>
      <c r="I56" s="4"/>
      <c r="K56" s="12" t="str">
        <f>Stakeholders!E56</f>
        <v>MARIA FERNANDA HEROS CALLIRGOS</v>
      </c>
      <c r="L56" s="3" t="s">
        <v>41</v>
      </c>
      <c r="N56" s="3" t="s">
        <v>55</v>
      </c>
      <c r="O56" s="3" t="s">
        <v>899</v>
      </c>
      <c r="R56" s="12" t="str">
        <f>LOOKUP(C56,[2]APMT_Detalle!$B$2:$B$521,[2]APMT_Detalle!$AP$2:$AP$521)</f>
        <v>On Premises</v>
      </c>
    </row>
    <row r="57" spans="2:18" ht="29">
      <c r="B57" s="12" t="s">
        <v>619</v>
      </c>
      <c r="C57" s="12" t="s">
        <v>669</v>
      </c>
      <c r="D57" s="12" t="s">
        <v>845</v>
      </c>
      <c r="E57" s="13" t="str">
        <f t="shared" si="0"/>
        <v>Diloo</v>
      </c>
      <c r="F57" s="6" t="s">
        <v>866</v>
      </c>
      <c r="G57" s="12" t="s">
        <v>32</v>
      </c>
      <c r="H57" s="13" t="s">
        <v>57</v>
      </c>
      <c r="K57" s="12" t="str">
        <f>Stakeholders!E57</f>
        <v>ALFREDO LLONA ARIS</v>
      </c>
      <c r="L57" s="3" t="s">
        <v>41</v>
      </c>
      <c r="N57" s="3" t="s">
        <v>55</v>
      </c>
      <c r="O57" s="3" t="str">
        <f ca="1">LOOKUP(C57,[2]APMT_Detalle!$B$82:$B$521,[2]APMT_Detalle!$S$2:$S$521)</f>
        <v>Santander Digital Services</v>
      </c>
      <c r="R57" s="12" t="str">
        <f>LOOKUP(C57,[2]APMT_Detalle!$B$2:$B$521,[2]APMT_Detalle!$M$2:$M$521)</f>
        <v>Datalake</v>
      </c>
    </row>
    <row r="58" spans="2:18">
      <c r="B58" s="12" t="s">
        <v>619</v>
      </c>
      <c r="C58" s="12" t="s">
        <v>629</v>
      </c>
      <c r="D58" s="12" t="s">
        <v>680</v>
      </c>
      <c r="E58" s="13" t="str">
        <f t="shared" si="0"/>
        <v>Lynx</v>
      </c>
      <c r="F58" s="6" t="s">
        <v>727</v>
      </c>
      <c r="G58" s="12" t="s">
        <v>759</v>
      </c>
      <c r="H58" s="13" t="s">
        <v>758</v>
      </c>
      <c r="K58" s="12" t="str">
        <f>Stakeholders!E58</f>
        <v>ALFREDO LLONA ARIS</v>
      </c>
      <c r="L58" s="3" t="s">
        <v>41</v>
      </c>
      <c r="N58" s="3" t="s">
        <v>55</v>
      </c>
      <c r="O58" s="3" t="str">
        <f ca="1">LOOKUP(C58,[2]APMT_Detalle!$B$82:$B$521,[2]APMT_Detalle!$S$2:$S$521)</f>
        <v>Externo</v>
      </c>
      <c r="R58" s="12" t="str">
        <f>LOOKUP(C58,[2]APMT_Detalle!$B$2:$B$521,[2]APMT_Detalle!$M$2:$M$521)</f>
        <v>Data Analytics</v>
      </c>
    </row>
    <row r="59" spans="2:18" ht="29">
      <c r="B59" s="12" t="s">
        <v>619</v>
      </c>
      <c r="C59" s="12" t="s">
        <v>814</v>
      </c>
      <c r="D59" s="12" t="s">
        <v>681</v>
      </c>
      <c r="E59" s="13" t="str">
        <f t="shared" si="0"/>
        <v xml:space="preserve">Astara/SK Berge </v>
      </c>
      <c r="F59" s="6" t="s">
        <v>880</v>
      </c>
      <c r="G59" s="12" t="s">
        <v>25</v>
      </c>
      <c r="H59" s="13" t="s">
        <v>39</v>
      </c>
      <c r="I59" s="4"/>
      <c r="K59" s="12" t="str">
        <f>Stakeholders!E59</f>
        <v>ALFREDO LLONA ARIS</v>
      </c>
      <c r="L59" s="3" t="s">
        <v>54</v>
      </c>
      <c r="N59" s="3" t="s">
        <v>55</v>
      </c>
      <c r="O59" s="3" t="s">
        <v>902</v>
      </c>
      <c r="R59" s="12" t="str">
        <f>LOOKUP(C59,[2]APMT_Detalle!$B$2:$B$521,[2]APMT_Detalle!$M$2:$M$521)</f>
        <v>Anura</v>
      </c>
    </row>
    <row r="60" spans="2:18" ht="29">
      <c r="B60" s="12" t="s">
        <v>619</v>
      </c>
      <c r="C60" s="12" t="s">
        <v>630</v>
      </c>
      <c r="D60" s="12" t="s">
        <v>682</v>
      </c>
      <c r="E60" s="13" t="str">
        <f t="shared" si="0"/>
        <v>Factoring Data Lake Leads</v>
      </c>
      <c r="F60" s="6" t="s">
        <v>728</v>
      </c>
      <c r="G60" s="12" t="s">
        <v>25</v>
      </c>
      <c r="H60" s="13" t="s">
        <v>39</v>
      </c>
      <c r="I60" s="4"/>
      <c r="K60" s="12" t="str">
        <f>Stakeholders!E60</f>
        <v>MARCO RISCO MEJIA</v>
      </c>
      <c r="L60" s="3" t="s">
        <v>54</v>
      </c>
      <c r="N60" s="3" t="s">
        <v>55</v>
      </c>
      <c r="O60" s="3" t="str">
        <f ca="1">LOOKUP(C60,[2]APMT_Detalle!$B$82:$B$521,[2]APMT_Detalle!$S$2:$S$521)</f>
        <v>Vector</v>
      </c>
      <c r="R60" s="12" t="str">
        <f>LOOKUP(C60,[2]APMT_Detalle!$B$2:$B$521,[2]APMT_Detalle!$M$2:$M$521)</f>
        <v>Modulo Negociación</v>
      </c>
    </row>
    <row r="61" spans="2:18" ht="43.5">
      <c r="B61" s="12" t="s">
        <v>619</v>
      </c>
      <c r="C61" s="12" t="s">
        <v>631</v>
      </c>
      <c r="D61" s="12" t="s">
        <v>683</v>
      </c>
      <c r="E61" s="13" t="str">
        <f t="shared" si="0"/>
        <v>Monitor Plus (ETL) - Transaction Monitorig</v>
      </c>
      <c r="F61" s="6" t="s">
        <v>729</v>
      </c>
      <c r="G61" s="12" t="s">
        <v>762</v>
      </c>
      <c r="H61" s="13" t="s">
        <v>46</v>
      </c>
      <c r="I61" s="4"/>
      <c r="K61" s="12" t="str">
        <f>Stakeholders!E61</f>
        <v>ALFREDO LLONA ARIS</v>
      </c>
      <c r="L61" s="3" t="s">
        <v>54</v>
      </c>
      <c r="N61" s="3" t="s">
        <v>55</v>
      </c>
      <c r="O61" s="3" t="str">
        <f ca="1">LOOKUP(C61,[2]APMT_Detalle!$B$82:$B$521,[2]APMT_Detalle!$S$2:$S$521)</f>
        <v>Externo</v>
      </c>
      <c r="R61" s="12" t="str">
        <f>LOOKUP(C61,[2]APMT_Detalle!$B$2:$B$521,[2]APMT_Detalle!$M$2:$M$521)</f>
        <v>Data Analytics</v>
      </c>
    </row>
    <row r="62" spans="2:18" ht="29">
      <c r="B62" s="12" t="s">
        <v>619</v>
      </c>
      <c r="C62" s="12" t="s">
        <v>632</v>
      </c>
      <c r="D62" s="12" t="s">
        <v>684</v>
      </c>
      <c r="E62" s="13" t="str">
        <f t="shared" si="0"/>
        <v>Dashboards Analytics</v>
      </c>
      <c r="F62" s="6" t="s">
        <v>881</v>
      </c>
      <c r="G62" s="12" t="s">
        <v>25</v>
      </c>
      <c r="H62" s="13" t="s">
        <v>758</v>
      </c>
      <c r="I62" s="4"/>
      <c r="K62" s="12" t="str">
        <f>Stakeholders!E62</f>
        <v>ALFREDO LLONA ARIS</v>
      </c>
      <c r="L62" s="3" t="s">
        <v>54</v>
      </c>
      <c r="N62" s="3" t="s">
        <v>55</v>
      </c>
      <c r="O62" s="3" t="str">
        <f ca="1">LOOKUP(C62,[2]APMT_Detalle!$B$82:$B$521,[2]APMT_Detalle!$S$2:$S$521)</f>
        <v>Santander Digital Services</v>
      </c>
      <c r="R62" s="12" t="str">
        <f>LOOKUP(C62,[2]APMT_Detalle!$B$2:$B$521,[2]APMT_Detalle!$M$2:$M$521)</f>
        <v>Anura</v>
      </c>
    </row>
    <row r="63" spans="2:18" ht="29">
      <c r="B63" s="12" t="s">
        <v>619</v>
      </c>
      <c r="C63" s="12" t="s">
        <v>633</v>
      </c>
      <c r="D63" s="12" t="s">
        <v>685</v>
      </c>
      <c r="E63" s="13" t="str">
        <f t="shared" si="0"/>
        <v>Loan Tape</v>
      </c>
      <c r="F63" s="6" t="s">
        <v>730</v>
      </c>
      <c r="G63" s="12" t="s">
        <v>25</v>
      </c>
      <c r="H63" s="13" t="s">
        <v>758</v>
      </c>
      <c r="K63" s="12" t="str">
        <f>Stakeholders!E63</f>
        <v>ALFREDO LLONA ARIS</v>
      </c>
      <c r="L63" s="3" t="s">
        <v>54</v>
      </c>
      <c r="N63" s="3" t="s">
        <v>55</v>
      </c>
      <c r="O63" s="3" t="str">
        <f ca="1">LOOKUP(C63,[2]APMT_Detalle!$B$82:$B$521,[2]APMT_Detalle!$S$2:$S$521)</f>
        <v>Externo</v>
      </c>
      <c r="R63" s="12" t="str">
        <f>LOOKUP(C63,[2]APMT_Detalle!$B$2:$B$521,[2]APMT_Detalle!$M$2:$M$521)</f>
        <v>Data Analytics</v>
      </c>
    </row>
    <row r="64" spans="2:18" ht="101.5">
      <c r="B64" s="12" t="s">
        <v>619</v>
      </c>
      <c r="C64" s="12" t="s">
        <v>634</v>
      </c>
      <c r="D64" s="12" t="s">
        <v>686</v>
      </c>
      <c r="E64" s="13" t="str">
        <f t="shared" si="0"/>
        <v>Hiperfirmas</v>
      </c>
      <c r="F64" s="6" t="s">
        <v>731</v>
      </c>
      <c r="G64" s="12" t="s">
        <v>25</v>
      </c>
      <c r="H64" s="13" t="s">
        <v>758</v>
      </c>
      <c r="K64" s="12">
        <f>Stakeholders!E64</f>
        <v>0</v>
      </c>
      <c r="L64" s="3" t="s">
        <v>35</v>
      </c>
      <c r="N64" s="3" t="s">
        <v>55</v>
      </c>
      <c r="O64" s="3" t="str">
        <f ca="1">LOOKUP(C64,[2]APMT_Detalle!$B$82:$B$521,[2]APMT_Detalle!$S$2:$S$521)</f>
        <v>Externo</v>
      </c>
      <c r="R64" s="12" t="str">
        <f>LOOKUP(C64,[2]APMT_Detalle!$B$2:$B$521,[2]APMT_Detalle!$M$2:$M$521)</f>
        <v>Data Analytics</v>
      </c>
    </row>
    <row r="65" spans="2:18" ht="116">
      <c r="B65" s="12" t="s">
        <v>619</v>
      </c>
      <c r="C65" s="12" t="s">
        <v>635</v>
      </c>
      <c r="D65" s="12" t="s">
        <v>687</v>
      </c>
      <c r="E65" s="13" t="str">
        <f t="shared" si="0"/>
        <v>Web Onboarding</v>
      </c>
      <c r="F65" s="6" t="s">
        <v>882</v>
      </c>
      <c r="G65" s="12" t="s">
        <v>759</v>
      </c>
      <c r="H65" s="13" t="s">
        <v>39</v>
      </c>
      <c r="K65" s="12" t="str">
        <f>Stakeholders!E65</f>
        <v>ALFREDO LLONA ARIS</v>
      </c>
      <c r="L65" s="3" t="s">
        <v>54</v>
      </c>
      <c r="N65" s="3" t="s">
        <v>55</v>
      </c>
      <c r="O65" s="3" t="str">
        <f ca="1">LOOKUP(C65,[2]APMT_Detalle!$B$82:$B$521,[2]APMT_Detalle!$S$2:$S$521)</f>
        <v>Santander Global Banking (GBM)</v>
      </c>
      <c r="R65" s="12" t="str">
        <f>LOOKUP(C65,[2]APMT_Detalle!$B$2:$B$521,[2]APMT_Detalle!$M$2:$M$521)</f>
        <v>Sailpoint</v>
      </c>
    </row>
    <row r="66" spans="2:18" ht="29">
      <c r="B66" s="12" t="s">
        <v>619</v>
      </c>
      <c r="C66" s="12" t="s">
        <v>636</v>
      </c>
      <c r="D66" s="12" t="s">
        <v>688</v>
      </c>
      <c r="E66" s="13" t="str">
        <f t="shared" si="0"/>
        <v>LBTR Novatronic</v>
      </c>
      <c r="F66" s="6" t="s">
        <v>732</v>
      </c>
      <c r="G66" s="12" t="s">
        <v>759</v>
      </c>
      <c r="H66" s="13" t="s">
        <v>758</v>
      </c>
      <c r="I66" s="4"/>
      <c r="K66" s="12" t="str">
        <f>Stakeholders!E66</f>
        <v>ALFREDO LLONA ARIS</v>
      </c>
      <c r="L66" s="3" t="s">
        <v>41</v>
      </c>
      <c r="N66" s="3" t="s">
        <v>55</v>
      </c>
      <c r="O66" s="3" t="str">
        <f ca="1">LOOKUP(C66,[2]APMT_Detalle!$B$82:$B$521,[2]APMT_Detalle!$S$2:$S$521)</f>
        <v>Externo</v>
      </c>
      <c r="R66" s="12" t="str">
        <f>LOOKUP(C66,[2]APMT_Detalle!$B$2:$B$521,[2]APMT_Detalle!$M$2:$M$521)</f>
        <v>Data Analytics</v>
      </c>
    </row>
    <row r="67" spans="2:18" ht="29">
      <c r="B67" s="12" t="s">
        <v>619</v>
      </c>
      <c r="C67" s="12" t="s">
        <v>815</v>
      </c>
      <c r="D67" s="12" t="s">
        <v>689</v>
      </c>
      <c r="E67" s="13" t="str">
        <f t="shared" ref="E67:E81" si="1">C67</f>
        <v>Web Pago Interno</v>
      </c>
      <c r="F67" s="6" t="s">
        <v>883</v>
      </c>
      <c r="G67" s="12" t="s">
        <v>25</v>
      </c>
      <c r="H67" s="13" t="s">
        <v>758</v>
      </c>
      <c r="K67" s="12" t="str">
        <f>Stakeholders!E67</f>
        <v>ALFREDO LLONA ARIS</v>
      </c>
      <c r="L67" s="3" t="s">
        <v>54</v>
      </c>
      <c r="N67" s="3" t="s">
        <v>55</v>
      </c>
      <c r="O67" s="3" t="str">
        <f ca="1">LOOKUP(C67,[2]APMT_Detalle!$B$82:$B$521,[2]APMT_Detalle!$S$2:$S$521)</f>
        <v>Santander Global Banking (GBM)</v>
      </c>
      <c r="R67" s="12" t="str">
        <f>LOOKUP(C67,[2]APMT_Detalle!$B$2:$B$521,[2]APMT_Detalle!$M$2:$M$521)</f>
        <v>Sailpoint</v>
      </c>
    </row>
    <row r="68" spans="2:18">
      <c r="B68" s="12" t="s">
        <v>619</v>
      </c>
      <c r="C68" s="12" t="s">
        <v>637</v>
      </c>
      <c r="D68" s="12" t="s">
        <v>690</v>
      </c>
      <c r="E68" s="13" t="str">
        <f t="shared" si="1"/>
        <v>Retenciones SUNAT</v>
      </c>
      <c r="F68" s="6" t="s">
        <v>733</v>
      </c>
      <c r="G68" s="12" t="s">
        <v>25</v>
      </c>
      <c r="H68" s="13" t="s">
        <v>39</v>
      </c>
      <c r="K68" s="12">
        <f>Stakeholders!E68</f>
        <v>0</v>
      </c>
      <c r="L68" s="3" t="s">
        <v>54</v>
      </c>
      <c r="N68" s="3" t="s">
        <v>55</v>
      </c>
      <c r="O68" s="3" t="str">
        <f ca="1">LOOKUP(C68,[2]APMT_Detalle!$B$82:$B$521,[2]APMT_Detalle!$S$2:$S$521)</f>
        <v>Santander Digital Services</v>
      </c>
      <c r="R68" s="12" t="str">
        <f>LOOKUP(C68,[2]APMT_Detalle!$B$2:$B$521,[2]APMT_Detalle!$M$2:$M$521)</f>
        <v>Quadrant</v>
      </c>
    </row>
    <row r="69" spans="2:18">
      <c r="B69" s="12" t="s">
        <v>619</v>
      </c>
      <c r="C69" s="12" t="s">
        <v>638</v>
      </c>
      <c r="D69" s="12" t="s">
        <v>691</v>
      </c>
      <c r="E69" s="13" t="str">
        <f t="shared" si="1"/>
        <v>Facturas Negociables</v>
      </c>
      <c r="F69" s="6" t="s">
        <v>734</v>
      </c>
      <c r="G69" s="12" t="s">
        <v>25</v>
      </c>
      <c r="H69" s="13" t="s">
        <v>758</v>
      </c>
      <c r="K69" s="12" t="str">
        <f>Stakeholders!E69</f>
        <v>ALFREDO LLONA ARIS</v>
      </c>
      <c r="L69" s="3" t="s">
        <v>54</v>
      </c>
      <c r="N69" s="3" t="s">
        <v>55</v>
      </c>
      <c r="O69" s="3" t="str">
        <f ca="1">LOOKUP(C69,[2]APMT_Detalle!$B$82:$B$521,[2]APMT_Detalle!$S$2:$S$521)</f>
        <v>Vector</v>
      </c>
      <c r="R69" s="12" t="str">
        <f>LOOKUP(C69,[2]APMT_Detalle!$B$2:$B$521,[2]APMT_Detalle!$M$2:$M$521)</f>
        <v>Modulo Negociación</v>
      </c>
    </row>
    <row r="70" spans="2:18" ht="29">
      <c r="B70" s="12" t="s">
        <v>619</v>
      </c>
      <c r="C70" s="12" t="s">
        <v>639</v>
      </c>
      <c r="D70" s="12" t="s">
        <v>692</v>
      </c>
      <c r="E70" s="13" t="str">
        <f t="shared" si="1"/>
        <v>GDS Modellica</v>
      </c>
      <c r="F70" s="6" t="s">
        <v>735</v>
      </c>
      <c r="G70" s="12" t="s">
        <v>32</v>
      </c>
      <c r="H70" s="13" t="s">
        <v>57</v>
      </c>
      <c r="K70" s="12" t="str">
        <f>Stakeholders!E70</f>
        <v>ALFREDO LLONA ARIS</v>
      </c>
      <c r="L70" s="3" t="s">
        <v>54</v>
      </c>
      <c r="N70" s="3" t="s">
        <v>55</v>
      </c>
      <c r="O70" s="3" t="str">
        <f ca="1">LOOKUP(C70,[2]APMT_Detalle!$B$82:$B$521,[2]APMT_Detalle!$S$2:$S$521)</f>
        <v>Vector</v>
      </c>
      <c r="R70" s="12" t="str">
        <f>LOOKUP(C70,[2]APMT_Detalle!$B$2:$B$521,[2]APMT_Detalle!$M$2:$M$521)</f>
        <v>Modulo Negociación</v>
      </c>
    </row>
    <row r="71" spans="2:18">
      <c r="B71" s="12" t="s">
        <v>619</v>
      </c>
      <c r="C71" s="12" t="s">
        <v>816</v>
      </c>
      <c r="D71" s="12" t="s">
        <v>846</v>
      </c>
      <c r="E71" s="13" t="str">
        <f t="shared" si="1"/>
        <v xml:space="preserve">Qlik Sense </v>
      </c>
      <c r="F71" s="6" t="s">
        <v>884</v>
      </c>
      <c r="G71" s="12" t="s">
        <v>25</v>
      </c>
      <c r="H71" s="13" t="s">
        <v>758</v>
      </c>
      <c r="K71" s="12" t="str">
        <f>Stakeholders!E71</f>
        <v>ALFREDO LLONA ARIS</v>
      </c>
      <c r="L71" s="3" t="s">
        <v>35</v>
      </c>
      <c r="N71" s="3" t="s">
        <v>55</v>
      </c>
      <c r="O71" s="3" t="str">
        <f ca="1">LOOKUP(C71,[2]APMT_Detalle!$B$82:$B$521,[2]APMT_Detalle!$S$2:$S$521)</f>
        <v>Santander Digital Services</v>
      </c>
      <c r="R71" s="12" t="str">
        <f>LOOKUP(C71,[2]APMT_Detalle!$B$2:$B$521,[2]APMT_Detalle!$M$2:$M$521)</f>
        <v>Portal Web Público</v>
      </c>
    </row>
    <row r="72" spans="2:18">
      <c r="B72" s="12" t="s">
        <v>619</v>
      </c>
      <c r="C72" s="12" t="s">
        <v>817</v>
      </c>
      <c r="D72" s="12" t="s">
        <v>847</v>
      </c>
      <c r="E72" s="13" t="str">
        <f t="shared" si="1"/>
        <v>Qlikview</v>
      </c>
      <c r="F72" s="6" t="s">
        <v>885</v>
      </c>
      <c r="G72" s="12" t="s">
        <v>25</v>
      </c>
      <c r="H72" s="13" t="s">
        <v>758</v>
      </c>
      <c r="K72" s="12" t="str">
        <f>Stakeholders!E72</f>
        <v>ALFREDO LLONA ARIS</v>
      </c>
      <c r="L72" s="3" t="s">
        <v>35</v>
      </c>
      <c r="N72" s="3" t="s">
        <v>55</v>
      </c>
      <c r="O72" s="3" t="str">
        <f ca="1">LOOKUP(C72,[2]APMT_Detalle!$B$82:$B$521,[2]APMT_Detalle!$S$2:$S$521)</f>
        <v>Santander Digital Services</v>
      </c>
      <c r="R72" s="12" t="str">
        <f>LOOKUP(C72,[2]APMT_Detalle!$B$2:$B$521,[2]APMT_Detalle!$M$2:$M$521)</f>
        <v>Portal Web Público</v>
      </c>
    </row>
    <row r="73" spans="2:18" ht="29">
      <c r="B73" s="12" t="s">
        <v>619</v>
      </c>
      <c r="C73" s="12" t="s">
        <v>640</v>
      </c>
      <c r="D73" s="12" t="s">
        <v>693</v>
      </c>
      <c r="E73" s="13" t="str">
        <f t="shared" si="1"/>
        <v>DATATEC</v>
      </c>
      <c r="F73" s="6" t="s">
        <v>736</v>
      </c>
      <c r="G73" s="12" t="s">
        <v>761</v>
      </c>
      <c r="H73" s="13" t="s">
        <v>57</v>
      </c>
      <c r="K73" s="12" t="str">
        <f>Stakeholders!E73</f>
        <v>JUAN MANUEL MENESES BUCHANAN</v>
      </c>
      <c r="L73" s="3" t="s">
        <v>41</v>
      </c>
      <c r="N73" s="3" t="s">
        <v>55</v>
      </c>
      <c r="O73" s="3" t="str">
        <f ca="1">LOOKUP(C73,[2]APMT_Detalle!$B$82:$B$521,[2]APMT_Detalle!$S$2:$S$521)</f>
        <v>Santander Digital Services</v>
      </c>
      <c r="R73" s="12" t="str">
        <f>LOOKUP(C73,[2]APMT_Detalle!$B$2:$B$521,[2]APMT_Detalle!$M$2:$M$521)</f>
        <v>Datalake</v>
      </c>
    </row>
    <row r="74" spans="2:18" ht="29">
      <c r="B74" s="12" t="s">
        <v>619</v>
      </c>
      <c r="C74" s="12" t="s">
        <v>641</v>
      </c>
      <c r="D74" s="12" t="s">
        <v>694</v>
      </c>
      <c r="E74" s="13" t="str">
        <f t="shared" si="1"/>
        <v>Data Lakehouse Corporativo</v>
      </c>
      <c r="F74" s="6" t="s">
        <v>737</v>
      </c>
      <c r="G74" s="12" t="s">
        <v>25</v>
      </c>
      <c r="H74" s="13" t="s">
        <v>39</v>
      </c>
      <c r="I74" s="4"/>
      <c r="K74" s="12" t="str">
        <f>Stakeholders!E74</f>
        <v>RENZO ALFREDO HUAYLLASCO CÁCERES</v>
      </c>
      <c r="L74" s="3" t="s">
        <v>54</v>
      </c>
      <c r="N74" s="3" t="s">
        <v>55</v>
      </c>
      <c r="O74" s="3" t="str">
        <f ca="1">LOOKUP(C74,[2]APMT_Detalle!$B$82:$B$521,[2]APMT_Detalle!$S$2:$S$521)</f>
        <v>Santander Digital Services</v>
      </c>
      <c r="R74" s="12" t="str">
        <f>LOOKUP(C74,[2]APMT_Detalle!$B$2:$B$521,[2]APMT_Detalle!$M$2:$M$521)</f>
        <v>Anura</v>
      </c>
    </row>
    <row r="75" spans="2:18" ht="58">
      <c r="B75" s="12" t="s">
        <v>619</v>
      </c>
      <c r="C75" s="12" t="s">
        <v>818</v>
      </c>
      <c r="D75" s="12" t="s">
        <v>848</v>
      </c>
      <c r="E75" s="13" t="str">
        <f t="shared" si="1"/>
        <v>Lista Negativa</v>
      </c>
      <c r="F75" s="6" t="s">
        <v>886</v>
      </c>
      <c r="G75" s="12" t="s">
        <v>25</v>
      </c>
      <c r="H75" s="13" t="s">
        <v>758</v>
      </c>
      <c r="I75" s="4"/>
      <c r="K75" s="12" t="str">
        <f>Stakeholders!E75</f>
        <v>EKATERINI KIDONIS MARCHENA</v>
      </c>
      <c r="L75" s="3" t="s">
        <v>54</v>
      </c>
      <c r="N75" s="3" t="s">
        <v>55</v>
      </c>
      <c r="O75" s="3" t="str">
        <f ca="1">LOOKUP(C75,[2]APMT_Detalle!$B$82:$B$521,[2]APMT_Detalle!$S$2:$S$521)</f>
        <v>Externo</v>
      </c>
      <c r="R75" s="12" t="str">
        <f>LOOKUP(C75,[2]APMT_Detalle!$B$2:$B$521,[2]APMT_Detalle!$M$2:$M$521)</f>
        <v>Data Analytics</v>
      </c>
    </row>
    <row r="76" spans="2:18">
      <c r="B76" s="12" t="s">
        <v>619</v>
      </c>
      <c r="C76" s="12" t="s">
        <v>642</v>
      </c>
      <c r="D76" s="12" t="s">
        <v>695</v>
      </c>
      <c r="E76" s="13" t="str">
        <f t="shared" si="1"/>
        <v>Reporte Helios</v>
      </c>
      <c r="F76" s="6" t="s">
        <v>738</v>
      </c>
      <c r="G76" s="12" t="s">
        <v>762</v>
      </c>
      <c r="H76" s="13" t="s">
        <v>46</v>
      </c>
      <c r="I76" s="4"/>
      <c r="K76" s="12" t="str">
        <f>Stakeholders!E76</f>
        <v>ALFREDO LLONA ARIS</v>
      </c>
      <c r="L76" s="3" t="s">
        <v>54</v>
      </c>
      <c r="N76" s="3" t="s">
        <v>55</v>
      </c>
      <c r="O76" s="3" t="str">
        <f ca="1">LOOKUP(C76,[2]APMT_Detalle!$B$82:$B$521,[2]APMT_Detalle!$S$2:$S$521)</f>
        <v>Santander Digital Services</v>
      </c>
      <c r="R76" s="12" t="str">
        <f>LOOKUP(C76,[2]APMT_Detalle!$B$2:$B$521,[2]APMT_Detalle!$M$2:$M$521)</f>
        <v>Quadrant</v>
      </c>
    </row>
    <row r="77" spans="2:18" ht="72.5">
      <c r="B77" s="12" t="s">
        <v>619</v>
      </c>
      <c r="C77" s="12" t="s">
        <v>644</v>
      </c>
      <c r="D77" s="12" t="s">
        <v>697</v>
      </c>
      <c r="E77" s="13" t="str">
        <f t="shared" si="1"/>
        <v>WorldSys</v>
      </c>
      <c r="F77" s="6" t="s">
        <v>739</v>
      </c>
      <c r="G77" s="12" t="s">
        <v>25</v>
      </c>
      <c r="H77" s="13" t="s">
        <v>758</v>
      </c>
      <c r="I77" s="4"/>
      <c r="K77" s="12" t="str">
        <f>Stakeholders!E77</f>
        <v>ALFREDO LLONA ARIS</v>
      </c>
      <c r="L77" s="3" t="s">
        <v>41</v>
      </c>
      <c r="N77" s="3" t="s">
        <v>55</v>
      </c>
      <c r="O77" s="3" t="str">
        <f ca="1">LOOKUP(C77,[2]APMT_Detalle!$B$82:$B$521,[2]APMT_Detalle!$S$2:$S$521)</f>
        <v>Santander Global Banking (GBM)</v>
      </c>
      <c r="R77" s="12" t="str">
        <f>LOOKUP(C77,[2]APMT_Detalle!$B$2:$B$521,[2]APMT_Detalle!$M$2:$M$521)</f>
        <v>Sailpoint</v>
      </c>
    </row>
    <row r="78" spans="2:18" ht="101.5">
      <c r="B78" s="12" t="s">
        <v>619</v>
      </c>
      <c r="C78" s="12" t="s">
        <v>645</v>
      </c>
      <c r="D78" s="12" t="s">
        <v>698</v>
      </c>
      <c r="E78" s="13" t="str">
        <f t="shared" si="1"/>
        <v>AMLUpdate - Name Screening</v>
      </c>
      <c r="F78" s="6" t="s">
        <v>887</v>
      </c>
      <c r="G78" s="12" t="s">
        <v>759</v>
      </c>
      <c r="H78" s="13" t="s">
        <v>46</v>
      </c>
      <c r="I78" s="4"/>
      <c r="K78" s="12" t="str">
        <f>Stakeholders!E78</f>
        <v>ALFREDO LLONA ARIS</v>
      </c>
      <c r="L78" s="3" t="s">
        <v>41</v>
      </c>
      <c r="N78" s="3" t="s">
        <v>55</v>
      </c>
      <c r="O78" s="3" t="s">
        <v>900</v>
      </c>
      <c r="R78" s="12" t="e">
        <f>LOOKUP(C78,[2]APMT_Detalle!$B$2:$B$521,[2]APMT_Detalle!$M$2:$M$521)</f>
        <v>#N/A</v>
      </c>
    </row>
    <row r="79" spans="2:18" ht="58">
      <c r="B79" s="12" t="s">
        <v>619</v>
      </c>
      <c r="C79" s="12" t="s">
        <v>646</v>
      </c>
      <c r="D79" s="12" t="s">
        <v>699</v>
      </c>
      <c r="E79" s="13" t="str">
        <f t="shared" si="1"/>
        <v>RatingPlus</v>
      </c>
      <c r="F79" s="6" t="s">
        <v>740</v>
      </c>
      <c r="G79" s="12" t="s">
        <v>759</v>
      </c>
      <c r="H79" s="13" t="s">
        <v>39</v>
      </c>
      <c r="I79" s="4"/>
      <c r="K79" s="12" t="str">
        <f>Stakeholders!E79</f>
        <v>ALFREDO LLONA ARIS</v>
      </c>
      <c r="L79" s="3" t="s">
        <v>41</v>
      </c>
      <c r="N79" s="3" t="s">
        <v>55</v>
      </c>
      <c r="O79" s="3" t="str">
        <f ca="1">LOOKUP(C79,[2]APMT_Detalle!$B$82:$B$521,[2]APMT_Detalle!$S$2:$S$521)</f>
        <v>Santander Digital Services</v>
      </c>
      <c r="R79" s="12" t="str">
        <f>LOOKUP(C79,[2]APMT_Detalle!$B$2:$B$521,[2]APMT_Detalle!$M$2:$M$521)</f>
        <v>Quadrant</v>
      </c>
    </row>
    <row r="80" spans="2:18" ht="72.5">
      <c r="B80" s="12" t="s">
        <v>619</v>
      </c>
      <c r="C80" s="12" t="s">
        <v>647</v>
      </c>
      <c r="D80" s="12" t="s">
        <v>701</v>
      </c>
      <c r="E80" s="13" t="str">
        <f t="shared" si="1"/>
        <v>Zapier</v>
      </c>
      <c r="F80" s="6" t="s">
        <v>742</v>
      </c>
      <c r="H80" s="13" t="s">
        <v>46</v>
      </c>
      <c r="I80" s="4"/>
      <c r="K80" s="12">
        <f>Stakeholders!E80</f>
        <v>0</v>
      </c>
      <c r="N80" s="3" t="s">
        <v>55</v>
      </c>
      <c r="O80" s="3" t="str">
        <f ca="1">LOOKUP(C80,[2]APMT_Detalle!$B$82:$B$521,[2]APMT_Detalle!$S$2:$S$521)</f>
        <v>Santander Global Banking (GBM)</v>
      </c>
      <c r="R80" s="12" t="str">
        <f>LOOKUP(C80,[2]APMT_Detalle!$B$2:$B$521,[2]APMT_Detalle!$M$2:$M$521)</f>
        <v>Sailpoint</v>
      </c>
    </row>
    <row r="81" spans="2:18" ht="29">
      <c r="B81" s="12" t="s">
        <v>619</v>
      </c>
      <c r="C81" s="12" t="s">
        <v>819</v>
      </c>
      <c r="D81" s="12" t="s">
        <v>849</v>
      </c>
      <c r="E81" s="13" t="str">
        <f t="shared" si="1"/>
        <v xml:space="preserve">SAP ByDesign </v>
      </c>
      <c r="F81" s="6" t="s">
        <v>888</v>
      </c>
      <c r="G81" s="12" t="s">
        <v>32</v>
      </c>
      <c r="H81" s="13" t="s">
        <v>46</v>
      </c>
      <c r="I81" s="4"/>
      <c r="K81" s="12">
        <f>Stakeholders!E81</f>
        <v>0</v>
      </c>
      <c r="L81" s="3" t="s">
        <v>41</v>
      </c>
      <c r="N81" s="3" t="s">
        <v>55</v>
      </c>
      <c r="O81" s="3" t="str">
        <f ca="1">LOOKUP(C81,[2]APMT_Detalle!$B$82:$B$521,[2]APMT_Detalle!$S$2:$S$521)</f>
        <v>Santander Digital Services</v>
      </c>
      <c r="R81" s="12" t="str">
        <f>LOOKUP(C81,[2]APMT_Detalle!$B$2:$B$521,[2]APMT_Detalle!$M$2:$M$521)</f>
        <v>Santo</v>
      </c>
    </row>
    <row r="82" spans="2:18" ht="87">
      <c r="B82" s="12" t="s">
        <v>619</v>
      </c>
      <c r="C82" s="12" t="s">
        <v>657</v>
      </c>
      <c r="D82" s="12" t="s">
        <v>712</v>
      </c>
      <c r="F82" s="6" t="s">
        <v>889</v>
      </c>
      <c r="G82" s="12" t="s">
        <v>25</v>
      </c>
      <c r="H82" s="12" t="s">
        <v>39</v>
      </c>
      <c r="K82" s="12" t="str">
        <f>Stakeholders!E82</f>
        <v>ALFREDO LLONA ARIS</v>
      </c>
      <c r="L82" s="3" t="s">
        <v>41</v>
      </c>
      <c r="N82" s="3" t="s">
        <v>55</v>
      </c>
      <c r="O82" s="3" t="str">
        <f ca="1">LOOKUP(C82,[2]APMT_Detalle!$B$82:$B$521,[2]APMT_Detalle!$S$2:$S$521)</f>
        <v>Santander Global Banking (GBM)</v>
      </c>
      <c r="R82" s="12" t="str">
        <f>LOOKUP(C82,[2]APMT_Detalle!$B$2:$B$521,[2]APMT_Detalle!$M$2:$M$521)</f>
        <v>Sailpoint</v>
      </c>
    </row>
    <row r="83" spans="2:18" ht="58">
      <c r="B83" s="12" t="s">
        <v>619</v>
      </c>
      <c r="C83" s="12" t="s">
        <v>659</v>
      </c>
      <c r="D83" s="12" t="s">
        <v>714</v>
      </c>
      <c r="F83" s="6" t="s">
        <v>754</v>
      </c>
      <c r="G83" s="12" t="s">
        <v>25</v>
      </c>
      <c r="H83" s="12" t="s">
        <v>39</v>
      </c>
      <c r="K83" s="12" t="str">
        <f>Stakeholders!E83</f>
        <v>ALFREDO LLONA ARIS</v>
      </c>
      <c r="L83" s="3" t="s">
        <v>41</v>
      </c>
      <c r="N83" s="3" t="s">
        <v>55</v>
      </c>
      <c r="O83" s="3" t="str">
        <f ca="1">LOOKUP(C83,[2]APMT_Detalle!$B$82:$B$521,[2]APMT_Detalle!$S$2:$S$521)</f>
        <v>Externo</v>
      </c>
      <c r="R83" s="12" t="str">
        <f>LOOKUP(C83,[2]APMT_Detalle!$B$2:$B$521,[2]APMT_Detalle!$M$2:$M$521)</f>
        <v>Data Analytics</v>
      </c>
    </row>
    <row r="84" spans="2:18" ht="43.5">
      <c r="B84" s="12" t="s">
        <v>619</v>
      </c>
      <c r="C84" s="12" t="s">
        <v>820</v>
      </c>
      <c r="D84" s="12" t="s">
        <v>850</v>
      </c>
      <c r="F84" s="6" t="s">
        <v>890</v>
      </c>
      <c r="G84" s="12" t="s">
        <v>25</v>
      </c>
      <c r="H84" s="12" t="s">
        <v>52</v>
      </c>
      <c r="K84" s="12" t="str">
        <f>Stakeholders!E84</f>
        <v>ALFREDO LLONA ARIS</v>
      </c>
      <c r="L84" s="3" t="s">
        <v>54</v>
      </c>
      <c r="N84" s="3" t="s">
        <v>55</v>
      </c>
      <c r="O84" s="3" t="str">
        <f ca="1">LOOKUP(C84,[2]APMT_Detalle!$B$82:$B$521,[2]APMT_Detalle!$S$2:$S$521)</f>
        <v>Santander Digital Services</v>
      </c>
      <c r="R84" s="12" t="str">
        <f>LOOKUP(C84,[2]APMT_Detalle!$B$2:$B$521,[2]APMT_Detalle!$M$2:$M$521)</f>
        <v>Quadrant</v>
      </c>
    </row>
    <row r="85" spans="2:18" ht="43.5">
      <c r="B85" s="12" t="s">
        <v>619</v>
      </c>
      <c r="C85" s="12" t="s">
        <v>663</v>
      </c>
      <c r="D85" s="12" t="s">
        <v>718</v>
      </c>
      <c r="F85" s="6" t="s">
        <v>757</v>
      </c>
      <c r="G85" s="12" t="s">
        <v>759</v>
      </c>
      <c r="H85" s="12" t="s">
        <v>39</v>
      </c>
      <c r="K85" s="12" t="str">
        <f>Stakeholders!E85</f>
        <v>ALFREDO LLONA ARIS</v>
      </c>
      <c r="L85" s="3" t="s">
        <v>41</v>
      </c>
      <c r="N85" s="3" t="s">
        <v>55</v>
      </c>
      <c r="O85" s="3" t="str">
        <f ca="1">LOOKUP(C85,[2]APMT_Detalle!$B$82:$B$521,[2]APMT_Detalle!$S$2:$S$521)</f>
        <v>Externo</v>
      </c>
      <c r="R85" s="12" t="str">
        <f>LOOKUP(C85,[2]APMT_Detalle!$B$2:$B$521,[2]APMT_Detalle!$M$2:$M$521)</f>
        <v>Data Analytics</v>
      </c>
    </row>
    <row r="86" spans="2:18" ht="29">
      <c r="B86" s="12" t="s">
        <v>619</v>
      </c>
      <c r="C86" s="12" t="s">
        <v>821</v>
      </c>
      <c r="D86" s="12" t="s">
        <v>851</v>
      </c>
      <c r="F86" s="6" t="s">
        <v>891</v>
      </c>
      <c r="G86" s="12" t="s">
        <v>762</v>
      </c>
      <c r="H86" s="12" t="s">
        <v>46</v>
      </c>
      <c r="K86" s="12">
        <f>Stakeholders!E86</f>
        <v>0</v>
      </c>
      <c r="L86" s="3" t="s">
        <v>54</v>
      </c>
      <c r="N86" s="3" t="s">
        <v>55</v>
      </c>
      <c r="O86" s="3" t="str">
        <f ca="1">LOOKUP(C86,[2]APMT_Detalle!$B$82:$B$521,[2]APMT_Detalle!$S$2:$S$521)</f>
        <v>Vector</v>
      </c>
      <c r="R86" s="12" t="str">
        <f>LOOKUP(C86,[2]APMT_Detalle!$B$2:$B$521,[2]APMT_Detalle!$M$2:$M$521)</f>
        <v>Modulo Negociación</v>
      </c>
    </row>
    <row r="24997" spans="200:201">
      <c r="GR24997" s="3" t="s">
        <v>66</v>
      </c>
      <c r="GS24997" s="3">
        <v>1</v>
      </c>
    </row>
    <row r="64996" spans="249:249">
      <c r="IO64996" s="3" t="s">
        <v>67</v>
      </c>
    </row>
    <row r="64997" spans="249:249">
      <c r="IO64997" s="3" t="s">
        <v>67</v>
      </c>
    </row>
  </sheetData>
  <autoFilter ref="A1:IO86" xr:uid="{83BFA74E-CBF2-449D-B3B9-A7AABC0A48EC}"/>
  <dataValidations count="7">
    <dataValidation type="list" allowBlank="1" sqref="H82:H9997" xr:uid="{1CA9A584-E397-4509-901F-EB79CAC33EC8}">
      <formula1>Red_box</formula1>
    </dataValidation>
    <dataValidation type="list" allowBlank="1" sqref="G2:G9997" xr:uid="{FCD4D8DA-8B4C-4F6E-8F0C-454C45DF5DCE}">
      <formula1>Region</formula1>
    </dataValidation>
    <dataValidation type="list" allowBlank="1" sqref="M82:M9997 N2:N86" xr:uid="{859F3C9B-94D7-477C-ACB2-C44D4B92BC18}">
      <formula1>TOPAZ_Indicator</formula1>
    </dataValidation>
    <dataValidation type="list" allowBlank="1" sqref="M2:M81 L87:L9997" xr:uid="{02E1985B-546A-4DAC-965D-C52CFBAC1CBF}">
      <formula1>Application_Age</formula1>
    </dataValidation>
    <dataValidation type="list" allowBlank="1" sqref="K87:K9997 L2:L86" xr:uid="{6799C1A2-446F-450D-9B80-34BC0295A71F}">
      <formula1>Application_Type_EY</formula1>
    </dataValidation>
    <dataValidation type="list" allowBlank="1" sqref="I2:I81" xr:uid="{6384B04A-8A0E-4743-BF57-5C79B20774BB}">
      <formula1>IT_portfolio</formula1>
    </dataValidation>
    <dataValidation type="list" allowBlank="1" sqref="H2:H81" xr:uid="{F1BE6565-365A-48F5-AE3D-06001BD9B4D1}">
      <formula1>$GC$2:$GC$8</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C0C85-40E2-4B28-81E1-6E0B30E4E6FF}">
  <dimension ref="A1:IP65000"/>
  <sheetViews>
    <sheetView topLeftCell="B1" workbookViewId="0">
      <pane ySplit="1" topLeftCell="A2" activePane="bottomLeft" state="frozen"/>
      <selection pane="bottomLeft" activeCell="E2" sqref="E2"/>
    </sheetView>
  </sheetViews>
  <sheetFormatPr baseColWidth="10" defaultColWidth="8.4140625" defaultRowHeight="14.5"/>
  <cols>
    <col min="1" max="1" width="25" style="3" hidden="1" customWidth="1"/>
    <col min="2" max="2" width="25" style="3" customWidth="1"/>
    <col min="3" max="3" width="36.33203125" style="3" bestFit="1" customWidth="1"/>
    <col min="4" max="4" width="42.83203125" style="3" bestFit="1" customWidth="1"/>
    <col min="5" max="5" width="36.08203125" style="3" bestFit="1" customWidth="1"/>
    <col min="6" max="7" width="25" style="3" hidden="1" customWidth="1"/>
    <col min="8" max="16384" width="8.4140625" style="3"/>
  </cols>
  <sheetData>
    <row r="1" spans="1:182">
      <c r="A1" s="1" t="s">
        <v>0</v>
      </c>
      <c r="B1" s="1" t="s">
        <v>1</v>
      </c>
      <c r="C1" s="2" t="s">
        <v>2</v>
      </c>
      <c r="D1" s="3" t="s">
        <v>68</v>
      </c>
      <c r="E1" s="3" t="s">
        <v>69</v>
      </c>
      <c r="F1" s="3" t="s">
        <v>70</v>
      </c>
      <c r="G1" s="3" t="s">
        <v>71</v>
      </c>
      <c r="FY1" s="3" t="s">
        <v>16</v>
      </c>
      <c r="FZ1" s="3" t="s">
        <v>17</v>
      </c>
    </row>
    <row r="2" spans="1:182">
      <c r="A2" s="4"/>
      <c r="B2" s="3" t="str">
        <f>'Application Info'!B2</f>
        <v>Surgir</v>
      </c>
      <c r="C2" s="4" t="str">
        <f>'Application Info'!C2</f>
        <v>SAP by Design</v>
      </c>
      <c r="D2" s="18" t="s">
        <v>763</v>
      </c>
      <c r="E2" s="18" t="s">
        <v>764</v>
      </c>
      <c r="F2" s="4"/>
      <c r="G2" s="4"/>
      <c r="FY2" s="3" t="s">
        <v>72</v>
      </c>
    </row>
    <row r="3" spans="1:182">
      <c r="B3" s="3" t="str">
        <f>'Application Info'!B3</f>
        <v>Surgir</v>
      </c>
      <c r="C3" s="4" t="str">
        <f>'Application Info'!C3</f>
        <v>App Surgir</v>
      </c>
      <c r="D3" s="18" t="s">
        <v>764</v>
      </c>
      <c r="E3" s="18" t="s">
        <v>764</v>
      </c>
      <c r="FY3" s="3" t="s">
        <v>73</v>
      </c>
    </row>
    <row r="4" spans="1:182">
      <c r="B4" s="3" t="str">
        <f>'Application Info'!B4</f>
        <v>Surgir</v>
      </c>
      <c r="C4" s="4" t="str">
        <f>'Application Info'!C4</f>
        <v>App Cliente</v>
      </c>
      <c r="D4" s="18" t="s">
        <v>764</v>
      </c>
      <c r="E4" s="18" t="s">
        <v>770</v>
      </c>
      <c r="FY4" s="3" t="s">
        <v>74</v>
      </c>
    </row>
    <row r="5" spans="1:182">
      <c r="B5" s="3" t="str">
        <f>'Application Info'!B5</f>
        <v>Surgir</v>
      </c>
      <c r="C5" s="4" t="str">
        <f>'Application Info'!C5</f>
        <v>AMLUpdate - Name Screening</v>
      </c>
      <c r="D5" s="18" t="s">
        <v>776</v>
      </c>
      <c r="E5" s="18" t="s">
        <v>764</v>
      </c>
    </row>
    <row r="6" spans="1:182">
      <c r="B6" s="3" t="str">
        <f>'Application Info'!B6</f>
        <v>Surgir</v>
      </c>
      <c r="C6" s="4" t="str">
        <f>'Application Info'!C6</f>
        <v>Portal Web Público</v>
      </c>
      <c r="D6" s="18" t="s">
        <v>764</v>
      </c>
      <c r="E6" s="18" t="s">
        <v>764</v>
      </c>
    </row>
    <row r="7" spans="1:182">
      <c r="B7" s="3" t="str">
        <f>'Application Info'!B7</f>
        <v>Surgir</v>
      </c>
      <c r="C7" s="4" t="str">
        <f>'Application Info'!C7</f>
        <v>Anura</v>
      </c>
      <c r="D7" s="18" t="s">
        <v>892</v>
      </c>
      <c r="E7" s="18" t="s">
        <v>764</v>
      </c>
    </row>
    <row r="8" spans="1:182">
      <c r="B8" s="3" t="str">
        <f>'Application Info'!B8</f>
        <v>Surgir</v>
      </c>
      <c r="C8" s="4" t="str">
        <f>'Application Info'!C8</f>
        <v>ERP Contanet</v>
      </c>
      <c r="D8" s="18" t="s">
        <v>791</v>
      </c>
      <c r="E8" s="18" t="s">
        <v>764</v>
      </c>
    </row>
    <row r="9" spans="1:182">
      <c r="B9" s="3" t="str">
        <f>'Application Info'!B9</f>
        <v>Surgir</v>
      </c>
      <c r="C9" s="4" t="str">
        <f>'Application Info'!C9</f>
        <v>Datalake</v>
      </c>
      <c r="D9" s="18" t="s">
        <v>764</v>
      </c>
      <c r="E9" s="18" t="s">
        <v>764</v>
      </c>
    </row>
    <row r="10" spans="1:182">
      <c r="B10" s="3" t="str">
        <f>'Application Info'!B10</f>
        <v>Surgir</v>
      </c>
      <c r="C10" s="4" t="str">
        <f>'Application Info'!C10</f>
        <v>Cobis</v>
      </c>
      <c r="D10" s="18" t="s">
        <v>764</v>
      </c>
      <c r="E10" s="18" t="s">
        <v>764</v>
      </c>
    </row>
    <row r="11" spans="1:182">
      <c r="B11" s="3" t="str">
        <f>'Application Info'!B11</f>
        <v>Santander Fondos Colectivos</v>
      </c>
      <c r="C11" s="4" t="str">
        <f>'Application Info'!C11</f>
        <v>Emblue</v>
      </c>
      <c r="D11" s="18" t="s">
        <v>771</v>
      </c>
      <c r="E11" s="18" t="s">
        <v>771</v>
      </c>
    </row>
    <row r="12" spans="1:182">
      <c r="B12" s="3" t="str">
        <f>'Application Info'!B12</f>
        <v>Santander Fondos Colectivos</v>
      </c>
      <c r="C12" s="4" t="str">
        <f>'Application Info'!C12</f>
        <v>Facephi</v>
      </c>
      <c r="D12" s="18" t="s">
        <v>771</v>
      </c>
      <c r="E12" s="18" t="s">
        <v>771</v>
      </c>
    </row>
    <row r="13" spans="1:182">
      <c r="B13" s="3" t="str">
        <f>'Application Info'!B13</f>
        <v>Santander Fondos Colectivos</v>
      </c>
      <c r="C13" s="4" t="str">
        <f>'Application Info'!C13</f>
        <v>Mapfre</v>
      </c>
      <c r="D13" s="18" t="s">
        <v>771</v>
      </c>
      <c r="E13" s="18" t="s">
        <v>786</v>
      </c>
    </row>
    <row r="14" spans="1:182">
      <c r="B14" s="3" t="str">
        <f>'Application Info'!B14</f>
        <v>Santander Fondos Colectivos</v>
      </c>
      <c r="C14" s="4" t="str">
        <f>'Application Info'!C14</f>
        <v>Tracklink</v>
      </c>
      <c r="D14" s="18" t="s">
        <v>771</v>
      </c>
      <c r="E14" s="18" t="s">
        <v>786</v>
      </c>
    </row>
    <row r="15" spans="1:182">
      <c r="B15" s="3" t="str">
        <f>'Application Info'!B15</f>
        <v>Santander Fondos Colectivos</v>
      </c>
      <c r="C15" s="4" t="str">
        <f>'Application Info'!C15</f>
        <v>Docuclass</v>
      </c>
      <c r="D15" s="18" t="s">
        <v>771</v>
      </c>
      <c r="E15" s="18" t="s">
        <v>786</v>
      </c>
    </row>
    <row r="16" spans="1:182">
      <c r="B16" s="3" t="str">
        <f>'Application Info'!B16</f>
        <v>Santander Fondos Colectivos</v>
      </c>
      <c r="C16" s="4" t="str">
        <f>'Application Info'!C16</f>
        <v>Diloo</v>
      </c>
      <c r="D16" s="18" t="s">
        <v>771</v>
      </c>
      <c r="E16" s="18" t="s">
        <v>786</v>
      </c>
    </row>
    <row r="17" spans="2:7">
      <c r="B17" s="3" t="str">
        <f>'Application Info'!B17</f>
        <v>Santander Fondos Colectivos</v>
      </c>
      <c r="C17" s="4" t="str">
        <f>'Application Info'!C17</f>
        <v>Izipay Pagos en línea</v>
      </c>
      <c r="D17" s="18" t="s">
        <v>771</v>
      </c>
      <c r="E17" s="18" t="s">
        <v>771</v>
      </c>
    </row>
    <row r="18" spans="2:7">
      <c r="B18" s="3" t="str">
        <f>'Application Info'!B18</f>
        <v>Santander Fondos Colectivos</v>
      </c>
      <c r="C18" s="4" t="str">
        <f>'Application Info'!C18</f>
        <v>IBK Recaudación</v>
      </c>
      <c r="D18" s="18" t="s">
        <v>771</v>
      </c>
      <c r="E18" s="18" t="s">
        <v>771</v>
      </c>
    </row>
    <row r="19" spans="2:7">
      <c r="B19" s="3" t="str">
        <f>'Application Info'!B19</f>
        <v>Santander Fondos Colectivos</v>
      </c>
      <c r="C19" s="4" t="str">
        <f>'Application Info'!C19</f>
        <v>SAP by Design</v>
      </c>
      <c r="D19" s="18" t="s">
        <v>893</v>
      </c>
      <c r="E19" s="18" t="s">
        <v>771</v>
      </c>
    </row>
    <row r="20" spans="2:7">
      <c r="B20" s="3" t="str">
        <f>'Application Info'!B20</f>
        <v>Santander Fondos Colectivos</v>
      </c>
      <c r="C20" s="4" t="str">
        <f>'Application Info'!C20</f>
        <v>Portal Web Público</v>
      </c>
      <c r="D20" s="18" t="s">
        <v>771</v>
      </c>
      <c r="E20" s="18" t="s">
        <v>771</v>
      </c>
    </row>
    <row r="21" spans="2:7">
      <c r="B21" s="3" t="str">
        <f>'Application Info'!B21</f>
        <v>Santander Fondos Colectivos</v>
      </c>
      <c r="C21" s="4" t="str">
        <f>'Application Info'!C21</f>
        <v>AMLUpdate - Name Screening</v>
      </c>
      <c r="D21" s="18" t="s">
        <v>776</v>
      </c>
      <c r="E21" s="18" t="s">
        <v>776</v>
      </c>
    </row>
    <row r="22" spans="2:7">
      <c r="B22" s="3" t="str">
        <f>'Application Info'!B22</f>
        <v>Santander Fondos Colectivos</v>
      </c>
      <c r="C22" s="4" t="str">
        <f>'Application Info'!C22</f>
        <v>Santo</v>
      </c>
      <c r="D22" s="18" t="s">
        <v>771</v>
      </c>
      <c r="E22" s="18" t="s">
        <v>786</v>
      </c>
    </row>
    <row r="23" spans="2:7">
      <c r="B23" s="3" t="str">
        <f>'Application Info'!B23</f>
        <v>SCIB Perú</v>
      </c>
      <c r="C23" s="4" t="str">
        <f>'Application Info'!C23</f>
        <v>Nuevo Office Banking</v>
      </c>
      <c r="D23" s="18" t="s">
        <v>781</v>
      </c>
      <c r="E23" s="18" t="s">
        <v>767</v>
      </c>
    </row>
    <row r="24" spans="2:7">
      <c r="B24" s="3" t="str">
        <f>'Application Info'!B24</f>
        <v>SCIB Perú</v>
      </c>
      <c r="C24" s="4" t="str">
        <f>'Application Info'!C24</f>
        <v>CEEFFC</v>
      </c>
      <c r="D24" s="18" t="s">
        <v>792</v>
      </c>
      <c r="E24" s="18" t="s">
        <v>792</v>
      </c>
    </row>
    <row r="25" spans="2:7">
      <c r="B25" s="3" t="str">
        <f>'Application Info'!B25</f>
        <v>SCIB Perú</v>
      </c>
      <c r="C25" s="4" t="str">
        <f>'Application Info'!C25</f>
        <v>Lbtr</v>
      </c>
      <c r="D25" s="18" t="s">
        <v>894</v>
      </c>
      <c r="E25" s="18" t="s">
        <v>767</v>
      </c>
    </row>
    <row r="26" spans="2:7">
      <c r="B26" s="3" t="str">
        <f>'Application Info'!B26</f>
        <v>SCIB Perú</v>
      </c>
      <c r="C26" s="4" t="str">
        <f>'Application Info'!C26</f>
        <v>Cash Nexus</v>
      </c>
      <c r="D26" s="18" t="s">
        <v>781</v>
      </c>
      <c r="E26" s="18" t="s">
        <v>781</v>
      </c>
      <c r="F26" s="7"/>
      <c r="G26" s="7"/>
    </row>
    <row r="27" spans="2:7">
      <c r="B27" s="3" t="str">
        <f>'Application Info'!B27</f>
        <v>SCIB Perú</v>
      </c>
      <c r="C27" s="4" t="str">
        <f>'Application Info'!C27</f>
        <v>Host to Host</v>
      </c>
      <c r="D27" s="18" t="s">
        <v>781</v>
      </c>
      <c r="E27" s="18" t="s">
        <v>794</v>
      </c>
    </row>
    <row r="28" spans="2:7">
      <c r="B28" s="3" t="str">
        <f>'Application Info'!B28</f>
        <v>SCIB Perú</v>
      </c>
      <c r="C28" s="4" t="str">
        <f>'Application Info'!C28</f>
        <v>Sistema Office Banking</v>
      </c>
      <c r="D28" s="18" t="s">
        <v>781</v>
      </c>
      <c r="E28" s="18" t="s">
        <v>781</v>
      </c>
    </row>
    <row r="29" spans="2:7">
      <c r="B29" s="3" t="str">
        <f>'Application Info'!B29</f>
        <v>Santander Consumer Perú</v>
      </c>
      <c r="C29" s="4" t="str">
        <f>'Application Info'!C29</f>
        <v>Diloo</v>
      </c>
      <c r="D29" s="18" t="s">
        <v>768</v>
      </c>
      <c r="E29" s="18" t="s">
        <v>786</v>
      </c>
    </row>
    <row r="30" spans="2:7">
      <c r="B30" s="3" t="str">
        <f>'Application Info'!B30</f>
        <v>Santander Consumer Perú</v>
      </c>
      <c r="C30" s="4" t="str">
        <f>'Application Info'!C30</f>
        <v>Plataforma de Facturacion Electronica</v>
      </c>
      <c r="D30" s="18" t="s">
        <v>768</v>
      </c>
      <c r="E30" s="18" t="s">
        <v>769</v>
      </c>
    </row>
    <row r="31" spans="2:7">
      <c r="B31" s="3" t="str">
        <f>'Application Info'!B31</f>
        <v>Santander Consumer Perú</v>
      </c>
      <c r="C31" s="4" t="str">
        <f>'Application Info'!C31</f>
        <v>Contáctanos</v>
      </c>
      <c r="D31" s="18" t="s">
        <v>768</v>
      </c>
      <c r="E31" s="18" t="s">
        <v>764</v>
      </c>
    </row>
    <row r="32" spans="2:7">
      <c r="B32" s="3" t="str">
        <f>'Application Info'!B32</f>
        <v>Santander Consumer Perú</v>
      </c>
      <c r="C32" s="4" t="str">
        <f>'Application Info'!C32</f>
        <v>Visor Cobranzas</v>
      </c>
      <c r="D32" s="18"/>
      <c r="E32" s="18"/>
    </row>
    <row r="33" spans="2:5">
      <c r="B33" s="3" t="str">
        <f>'Application Info'!B33</f>
        <v>Santander Consumer Perú</v>
      </c>
      <c r="C33" s="4" t="str">
        <f>'Application Info'!C33</f>
        <v>Api Market</v>
      </c>
      <c r="D33" s="18" t="s">
        <v>768</v>
      </c>
      <c r="E33" s="18" t="s">
        <v>764</v>
      </c>
    </row>
    <row r="34" spans="2:5">
      <c r="B34" s="3" t="str">
        <f>'Application Info'!B34</f>
        <v>Santander Consumer Perú</v>
      </c>
      <c r="C34" s="4" t="str">
        <f>'Application Info'!C34</f>
        <v>AMLUpdate - Name Screening</v>
      </c>
      <c r="D34" s="18" t="s">
        <v>776</v>
      </c>
      <c r="E34" s="18" t="s">
        <v>786</v>
      </c>
    </row>
    <row r="35" spans="2:5">
      <c r="B35" s="3" t="str">
        <f>'Application Info'!B35</f>
        <v>Santander Consumer Perú</v>
      </c>
      <c r="C35" s="4" t="str">
        <f>'Application Info'!C35</f>
        <v>Facturación Electrónica - Auto</v>
      </c>
      <c r="D35" s="18" t="s">
        <v>895</v>
      </c>
      <c r="E35" s="18" t="s">
        <v>786</v>
      </c>
    </row>
    <row r="36" spans="2:5">
      <c r="B36" s="3" t="str">
        <f>'Application Info'!B36</f>
        <v>Santander Consumer Perú</v>
      </c>
      <c r="C36" s="4" t="str">
        <f>'Application Info'!C36</f>
        <v>Portal Web Público</v>
      </c>
      <c r="D36" s="18" t="s">
        <v>764</v>
      </c>
      <c r="E36" s="18" t="s">
        <v>786</v>
      </c>
    </row>
    <row r="37" spans="2:5">
      <c r="B37" s="3" t="str">
        <f>'Application Info'!B37</f>
        <v>Santander Consumer Perú</v>
      </c>
      <c r="C37" s="4" t="str">
        <f>'Application Info'!C37</f>
        <v>SAP ByDesign - ERP</v>
      </c>
      <c r="D37" s="18" t="s">
        <v>788</v>
      </c>
      <c r="E37" s="18" t="s">
        <v>786</v>
      </c>
    </row>
    <row r="38" spans="2:5">
      <c r="B38" s="3" t="str">
        <f>'Application Info'!B38</f>
        <v>Santander Consumer Perú</v>
      </c>
      <c r="C38" s="4" t="str">
        <f>'Application Info'!C38</f>
        <v>Bantotal - Core Bancario</v>
      </c>
      <c r="D38" s="18" t="s">
        <v>769</v>
      </c>
      <c r="E38" s="18" t="s">
        <v>786</v>
      </c>
    </row>
    <row r="39" spans="2:5">
      <c r="B39" s="3" t="str">
        <f>'Application Info'!B39</f>
        <v>Santander Consumer Perú</v>
      </c>
      <c r="C39" s="4" t="str">
        <f>'Application Info'!C39</f>
        <v>Motor de Crédito</v>
      </c>
      <c r="D39" s="18" t="s">
        <v>789</v>
      </c>
      <c r="E39" s="18" t="s">
        <v>786</v>
      </c>
    </row>
    <row r="40" spans="2:5">
      <c r="B40" s="3" t="str">
        <f>'Application Info'!B40</f>
        <v>Santander Consumer Perú</v>
      </c>
      <c r="C40" s="4" t="str">
        <f>'Application Info'!C40</f>
        <v>Santi</v>
      </c>
      <c r="D40" s="18" t="s">
        <v>790</v>
      </c>
      <c r="E40" s="18" t="s">
        <v>786</v>
      </c>
    </row>
    <row r="41" spans="2:5">
      <c r="B41" s="3" t="str">
        <f>'Application Info'!B41</f>
        <v>Santander Consumer Perú</v>
      </c>
      <c r="C41" s="4" t="str">
        <f>'Application Info'!C41</f>
        <v>Seguros La Positiva</v>
      </c>
      <c r="D41" s="18" t="s">
        <v>769</v>
      </c>
      <c r="E41" s="18" t="s">
        <v>786</v>
      </c>
    </row>
    <row r="42" spans="2:5">
      <c r="B42" s="3" t="str">
        <f>'Application Info'!B42</f>
        <v>Santander Consumer Perú</v>
      </c>
      <c r="C42" s="4" t="str">
        <f>'Application Info'!C42</f>
        <v>Equifax</v>
      </c>
      <c r="D42" s="18" t="s">
        <v>789</v>
      </c>
      <c r="E42" s="18" t="s">
        <v>789</v>
      </c>
    </row>
    <row r="43" spans="2:5">
      <c r="B43" s="3" t="str">
        <f>'Application Info'!B43</f>
        <v>Santander Consumer Perú</v>
      </c>
      <c r="C43" s="4" t="str">
        <f>'Application Info'!C43</f>
        <v>Docuclass</v>
      </c>
      <c r="D43" s="18" t="s">
        <v>769</v>
      </c>
      <c r="E43" s="18" t="s">
        <v>786</v>
      </c>
    </row>
    <row r="44" spans="2:5">
      <c r="B44" s="3" t="str">
        <f>'Application Info'!B44</f>
        <v>Santander Consumer Perú</v>
      </c>
      <c r="C44" s="4" t="str">
        <f>'Application Info'!C44</f>
        <v>Seir</v>
      </c>
      <c r="D44" s="18" t="s">
        <v>788</v>
      </c>
      <c r="E44" s="18" t="s">
        <v>786</v>
      </c>
    </row>
    <row r="45" spans="2:5">
      <c r="B45" s="3" t="str">
        <f>'Application Info'!B45</f>
        <v>Santander Consumer Perú</v>
      </c>
      <c r="C45" s="4" t="str">
        <f>'Application Info'!C45</f>
        <v>Pomelo</v>
      </c>
      <c r="D45" s="19"/>
      <c r="E45" s="19"/>
    </row>
    <row r="46" spans="2:5">
      <c r="B46" s="3" t="str">
        <f>'Application Info'!B46</f>
        <v>Santander Consumer Perú</v>
      </c>
      <c r="C46" s="4" t="str">
        <f>'Application Info'!C46</f>
        <v>Izypay</v>
      </c>
      <c r="D46" s="19"/>
      <c r="E46" s="19"/>
    </row>
    <row r="47" spans="2:5">
      <c r="B47" s="3" t="str">
        <f>'Application Info'!B47</f>
        <v>Santander Consumer Perú</v>
      </c>
      <c r="C47" s="4" t="str">
        <f>'Application Info'!C47</f>
        <v>Kasnet</v>
      </c>
      <c r="D47" s="19"/>
      <c r="E47" s="19"/>
    </row>
    <row r="48" spans="2:5">
      <c r="B48" s="3" t="str">
        <f>'Application Info'!B48</f>
        <v>Santander Consumer Perú</v>
      </c>
      <c r="C48" s="4" t="str">
        <f>'Application Info'!C48</f>
        <v>ChatBot</v>
      </c>
      <c r="D48" s="19"/>
      <c r="E48" s="19"/>
    </row>
    <row r="49" spans="2:7">
      <c r="B49" s="3" t="str">
        <f>'Application Info'!B49</f>
        <v>Santander Consumer Perú</v>
      </c>
      <c r="C49" s="4" t="str">
        <f>'Application Info'!C49</f>
        <v>Data Riesgos</v>
      </c>
      <c r="D49" s="19"/>
      <c r="E49" s="19"/>
    </row>
    <row r="50" spans="2:7">
      <c r="B50" s="3" t="str">
        <f>'Application Info'!B50</f>
        <v>Santander Consumer Perú</v>
      </c>
      <c r="C50" s="4" t="str">
        <f>'Application Info'!C50</f>
        <v>API OTP</v>
      </c>
      <c r="D50" s="19"/>
      <c r="E50" s="19"/>
    </row>
    <row r="51" spans="2:7">
      <c r="B51" s="3" t="str">
        <f>'Application Info'!B51</f>
        <v>Santander Consumer Perú</v>
      </c>
      <c r="C51" s="4" t="str">
        <f>'Application Info'!C51</f>
        <v>API Portal</v>
      </c>
      <c r="D51" s="19"/>
      <c r="E51" s="19"/>
    </row>
    <row r="52" spans="2:7">
      <c r="B52" s="3" t="str">
        <f>'Application Info'!B52</f>
        <v>Santander Consumer Perú</v>
      </c>
      <c r="C52" s="4" t="str">
        <f>'Application Info'!C52</f>
        <v>Venta Cartera</v>
      </c>
      <c r="D52" s="19"/>
      <c r="E52" s="19"/>
    </row>
    <row r="53" spans="2:7">
      <c r="B53" s="3" t="str">
        <f>'Application Info'!B53</f>
        <v>Santander Perú</v>
      </c>
      <c r="C53" s="4" t="str">
        <f>'Application Info'!C53</f>
        <v>Virtual Assistant P&amp;C</v>
      </c>
      <c r="D53" s="18" t="s">
        <v>765</v>
      </c>
      <c r="E53" s="18" t="s">
        <v>766</v>
      </c>
    </row>
    <row r="54" spans="2:7">
      <c r="B54" s="3" t="str">
        <f>'Application Info'!B54</f>
        <v>Santander Perú</v>
      </c>
      <c r="C54" s="4" t="str">
        <f>'Application Info'!C54</f>
        <v>Masterbase</v>
      </c>
      <c r="D54" s="18" t="s">
        <v>781</v>
      </c>
      <c r="E54" s="18" t="s">
        <v>767</v>
      </c>
    </row>
    <row r="55" spans="2:7">
      <c r="B55" s="3" t="str">
        <f>'Application Info'!B55</f>
        <v>Santander Perú</v>
      </c>
      <c r="C55" s="4" t="str">
        <f>'Application Info'!C55</f>
        <v>Data Analytics</v>
      </c>
      <c r="D55" s="18" t="s">
        <v>767</v>
      </c>
      <c r="E55" s="18" t="s">
        <v>767</v>
      </c>
    </row>
    <row r="56" spans="2:7">
      <c r="B56" s="3" t="str">
        <f>'Application Info'!B56</f>
        <v>Santander Perú</v>
      </c>
      <c r="C56" s="4" t="str">
        <f>'Application Info'!C56</f>
        <v>Gestión Portafolio PMO</v>
      </c>
      <c r="D56" s="18" t="s">
        <v>896</v>
      </c>
      <c r="E56" s="18" t="s">
        <v>896</v>
      </c>
    </row>
    <row r="57" spans="2:7">
      <c r="B57" s="3" t="str">
        <f>'Application Info'!B57</f>
        <v>Santander Perú</v>
      </c>
      <c r="C57" s="4" t="str">
        <f>'Application Info'!C57</f>
        <v>Diloo</v>
      </c>
      <c r="D57" s="20" t="s">
        <v>781</v>
      </c>
      <c r="E57" s="20" t="s">
        <v>767</v>
      </c>
    </row>
    <row r="58" spans="2:7">
      <c r="B58" s="3" t="str">
        <f>'Application Info'!B58</f>
        <v>Santander Perú</v>
      </c>
      <c r="C58" s="4" t="str">
        <f>'Application Info'!C58</f>
        <v>Lynx</v>
      </c>
      <c r="D58" s="20" t="s">
        <v>772</v>
      </c>
      <c r="E58" s="20" t="s">
        <v>767</v>
      </c>
    </row>
    <row r="59" spans="2:7">
      <c r="B59" s="3" t="str">
        <f>'Application Info'!B59</f>
        <v>Santander Perú</v>
      </c>
      <c r="C59" s="4" t="str">
        <f>'Application Info'!C59</f>
        <v xml:space="preserve">Astara/SK Berge </v>
      </c>
      <c r="D59" s="18" t="s">
        <v>773</v>
      </c>
      <c r="E59" s="18" t="s">
        <v>767</v>
      </c>
    </row>
    <row r="60" spans="2:7">
      <c r="B60" s="3" t="str">
        <f>'Application Info'!B60</f>
        <v>Santander Perú</v>
      </c>
      <c r="C60" s="4" t="str">
        <f>'Application Info'!C60</f>
        <v>Factoring Data Lake Leads</v>
      </c>
      <c r="D60" s="18" t="s">
        <v>774</v>
      </c>
      <c r="E60" s="18" t="s">
        <v>775</v>
      </c>
    </row>
    <row r="61" spans="2:7">
      <c r="B61" s="3" t="str">
        <f>'Application Info'!B61</f>
        <v>Santander Perú</v>
      </c>
      <c r="C61" s="4" t="str">
        <f>'Application Info'!C61</f>
        <v>Monitor Plus (ETL) - Transaction Monitorig</v>
      </c>
      <c r="D61" s="18" t="s">
        <v>776</v>
      </c>
      <c r="E61" s="18" t="s">
        <v>767</v>
      </c>
      <c r="F61" s="7"/>
      <c r="G61" s="7"/>
    </row>
    <row r="62" spans="2:7">
      <c r="B62" s="3" t="str">
        <f>'Application Info'!B62</f>
        <v>Santander Perú</v>
      </c>
      <c r="C62" s="4" t="str">
        <f>'Application Info'!C62</f>
        <v>Dashboards Analytics</v>
      </c>
      <c r="D62" s="18" t="s">
        <v>777</v>
      </c>
      <c r="E62" s="18" t="s">
        <v>767</v>
      </c>
    </row>
    <row r="63" spans="2:7">
      <c r="B63" s="3" t="str">
        <f>'Application Info'!B63</f>
        <v>Santander Perú</v>
      </c>
      <c r="C63" s="4" t="str">
        <f>'Application Info'!C63</f>
        <v>Loan Tape</v>
      </c>
      <c r="D63" s="18" t="s">
        <v>778</v>
      </c>
      <c r="E63" s="18" t="s">
        <v>767</v>
      </c>
    </row>
    <row r="64" spans="2:7">
      <c r="B64" s="3" t="str">
        <f>'Application Info'!B64</f>
        <v>Santander Perú</v>
      </c>
      <c r="C64" s="4" t="str">
        <f>'Application Info'!C64</f>
        <v>Hiperfirmas</v>
      </c>
      <c r="D64" s="18" t="s">
        <v>779</v>
      </c>
      <c r="E64" s="18"/>
    </row>
    <row r="65" spans="2:5">
      <c r="B65" s="3" t="str">
        <f>'Application Info'!B65</f>
        <v>Santander Perú</v>
      </c>
      <c r="C65" s="4" t="str">
        <f>'Application Info'!C65</f>
        <v>Web Onboarding</v>
      </c>
      <c r="D65" s="18" t="s">
        <v>767</v>
      </c>
      <c r="E65" s="18" t="s">
        <v>767</v>
      </c>
    </row>
    <row r="66" spans="2:5">
      <c r="B66" s="3" t="str">
        <f>'Application Info'!B66</f>
        <v>Santander Perú</v>
      </c>
      <c r="C66" s="4" t="str">
        <f>'Application Info'!C66</f>
        <v>LBTR Novatronic</v>
      </c>
      <c r="D66" s="18" t="s">
        <v>780</v>
      </c>
      <c r="E66" s="18" t="s">
        <v>767</v>
      </c>
    </row>
    <row r="67" spans="2:5">
      <c r="B67" s="3" t="str">
        <f>'Application Info'!B67</f>
        <v>Santander Perú</v>
      </c>
      <c r="C67" s="4" t="str">
        <f>'Application Info'!C67</f>
        <v>Web Pago Interno</v>
      </c>
      <c r="D67" s="18" t="s">
        <v>781</v>
      </c>
      <c r="E67" s="18" t="s">
        <v>767</v>
      </c>
    </row>
    <row r="68" spans="2:5">
      <c r="B68" s="3" t="str">
        <f>'Application Info'!B68</f>
        <v>Santander Perú</v>
      </c>
      <c r="C68" s="4" t="str">
        <f>'Application Info'!C68</f>
        <v>Retenciones SUNAT</v>
      </c>
      <c r="D68" s="18" t="s">
        <v>779</v>
      </c>
      <c r="E68" s="18"/>
    </row>
    <row r="69" spans="2:5">
      <c r="B69" s="3" t="str">
        <f>'Application Info'!B69</f>
        <v>Santander Perú</v>
      </c>
      <c r="C69" s="4" t="str">
        <f>'Application Info'!C69</f>
        <v>Facturas Negociables</v>
      </c>
      <c r="D69" s="18" t="s">
        <v>782</v>
      </c>
      <c r="E69" s="18" t="s">
        <v>767</v>
      </c>
    </row>
    <row r="70" spans="2:5">
      <c r="B70" s="3" t="str">
        <f>'Application Info'!B70</f>
        <v>Santander Perú</v>
      </c>
      <c r="C70" s="4" t="str">
        <f>'Application Info'!C70</f>
        <v>GDS Modellica</v>
      </c>
      <c r="D70" s="18" t="s">
        <v>783</v>
      </c>
      <c r="E70" s="18" t="s">
        <v>767</v>
      </c>
    </row>
    <row r="71" spans="2:5">
      <c r="B71" s="3" t="str">
        <f>'Application Info'!B71</f>
        <v>Santander Perú</v>
      </c>
      <c r="C71" s="4" t="str">
        <f>'Application Info'!C71</f>
        <v xml:space="preserve">Qlik Sense </v>
      </c>
      <c r="D71" s="18" t="s">
        <v>897</v>
      </c>
      <c r="E71" s="18" t="s">
        <v>767</v>
      </c>
    </row>
    <row r="72" spans="2:5">
      <c r="B72" s="3" t="str">
        <f>'Application Info'!B72</f>
        <v>Santander Perú</v>
      </c>
      <c r="C72" s="4" t="str">
        <f>'Application Info'!C72</f>
        <v>Qlikview</v>
      </c>
      <c r="D72" s="18" t="s">
        <v>897</v>
      </c>
      <c r="E72" s="18" t="s">
        <v>767</v>
      </c>
    </row>
    <row r="73" spans="2:5">
      <c r="B73" s="3" t="str">
        <f>'Application Info'!B73</f>
        <v>Santander Perú</v>
      </c>
      <c r="C73" s="4" t="str">
        <f>'Application Info'!C73</f>
        <v>DATATEC</v>
      </c>
      <c r="D73" s="18" t="s">
        <v>784</v>
      </c>
      <c r="E73" s="18" t="s">
        <v>784</v>
      </c>
    </row>
    <row r="74" spans="2:5">
      <c r="B74" s="3" t="str">
        <f>'Application Info'!B74</f>
        <v>Santander Perú</v>
      </c>
      <c r="C74" s="4" t="str">
        <f>'Application Info'!C74</f>
        <v>Data Lakehouse Corporativo</v>
      </c>
      <c r="D74" s="18" t="s">
        <v>764</v>
      </c>
      <c r="E74" s="18" t="s">
        <v>764</v>
      </c>
    </row>
    <row r="75" spans="2:5">
      <c r="B75" s="3" t="str">
        <f>'Application Info'!B75</f>
        <v>Santander Perú</v>
      </c>
      <c r="C75" s="4" t="str">
        <f>'Application Info'!C75</f>
        <v>Lista Negativa</v>
      </c>
      <c r="D75" s="18" t="s">
        <v>779</v>
      </c>
      <c r="E75" s="18" t="s">
        <v>779</v>
      </c>
    </row>
    <row r="76" spans="2:5">
      <c r="B76" s="3" t="str">
        <f>'Application Info'!B76</f>
        <v>Santander Perú</v>
      </c>
      <c r="C76" s="4" t="str">
        <f>'Application Info'!C76</f>
        <v>Reporte Helios</v>
      </c>
      <c r="D76" s="18" t="s">
        <v>785</v>
      </c>
      <c r="E76" s="18" t="s">
        <v>767</v>
      </c>
    </row>
    <row r="77" spans="2:5">
      <c r="B77" s="3" t="str">
        <f>'Application Info'!B77</f>
        <v>Santander Perú</v>
      </c>
      <c r="C77" s="4" t="str">
        <f>'Application Info'!C77</f>
        <v>WorldSys</v>
      </c>
      <c r="D77" s="18" t="s">
        <v>776</v>
      </c>
      <c r="E77" s="18" t="s">
        <v>767</v>
      </c>
    </row>
    <row r="78" spans="2:5">
      <c r="B78" s="3" t="str">
        <f>'Application Info'!B78</f>
        <v>Santander Perú</v>
      </c>
      <c r="C78" s="4" t="str">
        <f>'Application Info'!C78</f>
        <v>AMLUpdate - Name Screening</v>
      </c>
      <c r="D78" s="18" t="s">
        <v>776</v>
      </c>
      <c r="E78" s="18" t="s">
        <v>767</v>
      </c>
    </row>
    <row r="79" spans="2:5">
      <c r="B79" s="3" t="str">
        <f>'Application Info'!B79</f>
        <v>Santander Perú</v>
      </c>
      <c r="C79" s="4" t="str">
        <f>'Application Info'!C79</f>
        <v>RatingPlus</v>
      </c>
      <c r="D79" s="18" t="s">
        <v>787</v>
      </c>
      <c r="E79" s="18" t="s">
        <v>767</v>
      </c>
    </row>
    <row r="80" spans="2:5">
      <c r="B80" s="3" t="str">
        <f>'Application Info'!B80</f>
        <v>Santander Perú</v>
      </c>
      <c r="C80" s="4" t="str">
        <f>'Application Info'!C80</f>
        <v>Zapier</v>
      </c>
      <c r="D80" s="18" t="s">
        <v>782</v>
      </c>
      <c r="E80" s="18"/>
    </row>
    <row r="81" spans="2:5">
      <c r="B81" s="3" t="str">
        <f>'Application Info'!B81</f>
        <v>Santander Perú</v>
      </c>
      <c r="C81" s="4" t="str">
        <f>'Application Info'!C81</f>
        <v xml:space="preserve">SAP ByDesign </v>
      </c>
      <c r="D81" s="18" t="s">
        <v>898</v>
      </c>
      <c r="E81" s="18"/>
    </row>
    <row r="82" spans="2:5">
      <c r="B82" s="3" t="str">
        <f>'Application Info'!B82</f>
        <v>Santander Perú</v>
      </c>
      <c r="C82" s="4" t="str">
        <f>'Application Info'!C82</f>
        <v>Web Institucional</v>
      </c>
      <c r="D82" s="18" t="s">
        <v>793</v>
      </c>
      <c r="E82" s="18" t="s">
        <v>767</v>
      </c>
    </row>
    <row r="83" spans="2:5">
      <c r="B83" s="3" t="str">
        <f>'Application Info'!B83</f>
        <v>Santander Perú</v>
      </c>
      <c r="C83" s="4" t="str">
        <f>'Application Info'!C83</f>
        <v>Motor TOP</v>
      </c>
      <c r="D83" s="18" t="s">
        <v>778</v>
      </c>
      <c r="E83" s="18" t="s">
        <v>767</v>
      </c>
    </row>
    <row r="84" spans="2:5">
      <c r="B84" s="3" t="str">
        <f>'Application Info'!B84</f>
        <v>Santander Perú</v>
      </c>
      <c r="C84" s="4" t="str">
        <f>'Application Info'!C84</f>
        <v>Reporte Crediticio de Deudores</v>
      </c>
      <c r="D84" s="18" t="s">
        <v>763</v>
      </c>
      <c r="E84" s="18" t="s">
        <v>767</v>
      </c>
    </row>
    <row r="85" spans="2:5">
      <c r="B85" s="3" t="str">
        <f>'Application Info'!B85</f>
        <v>Santander Perú</v>
      </c>
      <c r="C85" s="4" t="str">
        <f>'Application Info'!C85</f>
        <v>Nazca AS400</v>
      </c>
      <c r="D85" s="18" t="s">
        <v>780</v>
      </c>
      <c r="E85" s="18" t="s">
        <v>767</v>
      </c>
    </row>
    <row r="86" spans="2:5">
      <c r="B86" s="3" t="str">
        <f>'Application Info'!B86</f>
        <v>Santander Perú</v>
      </c>
      <c r="C86" s="4" t="str">
        <f>'Application Info'!C86</f>
        <v>Genesys Cloud</v>
      </c>
      <c r="D86" s="18"/>
      <c r="E86" s="18"/>
    </row>
    <row r="87" spans="2:5">
      <c r="B87" s="3">
        <f>'Application Info'!B87</f>
        <v>0</v>
      </c>
      <c r="C87" s="4">
        <f>'Application Info'!C87</f>
        <v>0</v>
      </c>
      <c r="D87" s="21"/>
      <c r="E87" s="21"/>
    </row>
    <row r="88" spans="2:5">
      <c r="B88" s="3">
        <f>'Application Info'!B88</f>
        <v>0</v>
      </c>
      <c r="C88" s="4">
        <f>'Application Info'!C88</f>
        <v>0</v>
      </c>
      <c r="D88" s="21"/>
      <c r="E88" s="21"/>
    </row>
    <row r="89" spans="2:5">
      <c r="B89" s="3">
        <f>'Application Info'!B89</f>
        <v>0</v>
      </c>
      <c r="C89" s="4">
        <f>'Application Info'!C89</f>
        <v>0</v>
      </c>
      <c r="D89" s="21"/>
      <c r="E89" s="21"/>
    </row>
    <row r="90" spans="2:5">
      <c r="B90" s="3">
        <f>'Application Info'!B90</f>
        <v>0</v>
      </c>
      <c r="C90" s="4">
        <f>'Application Info'!C90</f>
        <v>0</v>
      </c>
      <c r="D90" s="21"/>
      <c r="E90" s="21"/>
    </row>
    <row r="91" spans="2:5">
      <c r="B91" s="3">
        <f>'Application Info'!B91</f>
        <v>0</v>
      </c>
      <c r="C91" s="4">
        <f>'Application Info'!C91</f>
        <v>0</v>
      </c>
      <c r="D91" s="21"/>
      <c r="E91" s="21"/>
    </row>
    <row r="92" spans="2:5">
      <c r="B92" s="3">
        <f>'Application Info'!B92</f>
        <v>0</v>
      </c>
      <c r="C92" s="4">
        <f>'Application Info'!C92</f>
        <v>0</v>
      </c>
      <c r="D92" s="21"/>
      <c r="E92" s="21"/>
    </row>
    <row r="93" spans="2:5">
      <c r="B93" s="3">
        <f>'Application Info'!B93</f>
        <v>0</v>
      </c>
      <c r="C93" s="4">
        <f>'Application Info'!C93</f>
        <v>0</v>
      </c>
      <c r="D93" s="21"/>
      <c r="E93" s="21"/>
    </row>
    <row r="94" spans="2:5">
      <c r="B94" s="3">
        <f>'Application Info'!B94</f>
        <v>0</v>
      </c>
      <c r="C94" s="4">
        <f>'Application Info'!C94</f>
        <v>0</v>
      </c>
      <c r="D94" s="21"/>
      <c r="E94" s="21"/>
    </row>
    <row r="95" spans="2:5">
      <c r="B95" s="3">
        <f>'Application Info'!B95</f>
        <v>0</v>
      </c>
      <c r="C95" s="4">
        <f>'Application Info'!C95</f>
        <v>0</v>
      </c>
      <c r="D95" s="21"/>
      <c r="E95" s="21"/>
    </row>
    <row r="96" spans="2:5">
      <c r="B96" s="3">
        <f>'Application Info'!B96</f>
        <v>0</v>
      </c>
      <c r="C96" s="4">
        <f>'Application Info'!C96</f>
        <v>0</v>
      </c>
      <c r="D96" s="21"/>
      <c r="E96" s="21"/>
    </row>
    <row r="97" spans="2:5">
      <c r="B97" s="3">
        <f>'Application Info'!B97</f>
        <v>0</v>
      </c>
      <c r="C97" s="4">
        <f>'Application Info'!C97</f>
        <v>0</v>
      </c>
      <c r="D97" s="21"/>
      <c r="E97" s="21"/>
    </row>
    <row r="98" spans="2:5">
      <c r="B98" s="3">
        <f>'Application Info'!B98</f>
        <v>0</v>
      </c>
      <c r="C98" s="4">
        <f>'Application Info'!C98</f>
        <v>0</v>
      </c>
      <c r="D98" s="21"/>
      <c r="E98" s="21"/>
    </row>
    <row r="99" spans="2:5">
      <c r="B99" s="3">
        <f>'Application Info'!B99</f>
        <v>0</v>
      </c>
      <c r="C99" s="4">
        <f>'Application Info'!C99</f>
        <v>0</v>
      </c>
      <c r="D99" s="21"/>
      <c r="E99" s="21"/>
    </row>
    <row r="100" spans="2:5">
      <c r="B100" s="3">
        <f>'Application Info'!B100</f>
        <v>0</v>
      </c>
      <c r="C100" s="4">
        <f>'Application Info'!C100</f>
        <v>0</v>
      </c>
      <c r="D100" s="21"/>
      <c r="E100" s="21"/>
    </row>
    <row r="101" spans="2:5">
      <c r="B101" s="3">
        <f>'Application Info'!B101</f>
        <v>0</v>
      </c>
      <c r="C101" s="4">
        <f>'Application Info'!C101</f>
        <v>0</v>
      </c>
      <c r="D101" s="21"/>
      <c r="E101" s="21"/>
    </row>
    <row r="102" spans="2:5">
      <c r="B102" s="3">
        <f>'Application Info'!B102</f>
        <v>0</v>
      </c>
      <c r="C102" s="4">
        <f>'Application Info'!C102</f>
        <v>0</v>
      </c>
      <c r="D102" s="21"/>
      <c r="E102" s="21"/>
    </row>
    <row r="103" spans="2:5">
      <c r="D103" s="21"/>
      <c r="E103" s="21"/>
    </row>
    <row r="104" spans="2:5">
      <c r="D104" s="21"/>
      <c r="E104" s="21"/>
    </row>
    <row r="105" spans="2:5">
      <c r="D105" s="21"/>
      <c r="E105" s="21"/>
    </row>
    <row r="106" spans="2:5">
      <c r="D106" s="21"/>
      <c r="E106" s="21"/>
    </row>
    <row r="107" spans="2:5">
      <c r="D107" s="21"/>
      <c r="E107" s="21"/>
    </row>
    <row r="108" spans="2:5">
      <c r="D108" s="21"/>
      <c r="E108" s="21"/>
    </row>
    <row r="109" spans="2:5">
      <c r="D109" s="21"/>
      <c r="E109" s="21"/>
    </row>
    <row r="110" spans="2:5">
      <c r="D110" s="21"/>
      <c r="E110" s="21"/>
    </row>
    <row r="111" spans="2:5">
      <c r="D111" s="21"/>
      <c r="E111" s="21"/>
    </row>
    <row r="112" spans="2:5">
      <c r="D112" s="21"/>
      <c r="E112" s="21"/>
    </row>
    <row r="113" spans="4:5">
      <c r="D113" s="21"/>
      <c r="E113" s="21"/>
    </row>
    <row r="114" spans="4:5">
      <c r="D114" s="21"/>
      <c r="E114" s="21"/>
    </row>
    <row r="115" spans="4:5">
      <c r="D115" s="21"/>
      <c r="E115" s="21"/>
    </row>
    <row r="116" spans="4:5">
      <c r="D116" s="21"/>
      <c r="E116" s="21"/>
    </row>
    <row r="117" spans="4:5">
      <c r="D117" s="21"/>
      <c r="E117" s="21"/>
    </row>
    <row r="118" spans="4:5">
      <c r="D118" s="21"/>
      <c r="E118" s="21"/>
    </row>
    <row r="119" spans="4:5">
      <c r="D119" s="21"/>
      <c r="E119" s="21"/>
    </row>
    <row r="120" spans="4:5">
      <c r="D120" s="21"/>
      <c r="E120" s="21"/>
    </row>
    <row r="121" spans="4:5">
      <c r="D121" s="21"/>
      <c r="E121" s="21"/>
    </row>
    <row r="122" spans="4:5">
      <c r="D122" s="21"/>
      <c r="E122" s="21"/>
    </row>
    <row r="123" spans="4:5">
      <c r="D123" s="21"/>
      <c r="E123" s="21"/>
    </row>
    <row r="124" spans="4:5">
      <c r="D124" s="21"/>
      <c r="E124" s="21"/>
    </row>
    <row r="125" spans="4:5">
      <c r="D125" s="21"/>
      <c r="E125" s="21"/>
    </row>
    <row r="126" spans="4:5">
      <c r="D126" s="21"/>
      <c r="E126" s="21"/>
    </row>
    <row r="127" spans="4:5">
      <c r="D127" s="21"/>
      <c r="E127" s="21"/>
    </row>
    <row r="128" spans="4:5">
      <c r="D128" s="21"/>
      <c r="E128" s="21"/>
    </row>
    <row r="129" spans="4:5">
      <c r="D129" s="21"/>
      <c r="E129" s="21"/>
    </row>
    <row r="130" spans="4:5">
      <c r="D130" s="21"/>
      <c r="E130" s="21"/>
    </row>
    <row r="131" spans="4:5">
      <c r="D131" s="21"/>
      <c r="E131" s="21"/>
    </row>
    <row r="132" spans="4:5">
      <c r="D132" s="21"/>
      <c r="E132" s="21"/>
    </row>
    <row r="133" spans="4:5">
      <c r="D133" s="21"/>
      <c r="E133" s="21"/>
    </row>
    <row r="134" spans="4:5">
      <c r="D134" s="21"/>
      <c r="E134" s="21"/>
    </row>
    <row r="135" spans="4:5">
      <c r="D135" s="21"/>
      <c r="E135" s="21"/>
    </row>
    <row r="136" spans="4:5">
      <c r="D136" s="21"/>
      <c r="E136" s="21"/>
    </row>
    <row r="137" spans="4:5">
      <c r="D137" s="21"/>
      <c r="E137" s="21"/>
    </row>
    <row r="138" spans="4:5">
      <c r="D138" s="21"/>
      <c r="E138" s="21"/>
    </row>
    <row r="139" spans="4:5">
      <c r="D139" s="21"/>
      <c r="E139" s="21"/>
    </row>
    <row r="140" spans="4:5">
      <c r="D140" s="21"/>
      <c r="E140" s="21"/>
    </row>
    <row r="141" spans="4:5">
      <c r="D141" s="21"/>
      <c r="E141" s="21"/>
    </row>
    <row r="142" spans="4:5">
      <c r="D142" s="21"/>
      <c r="E142" s="21"/>
    </row>
    <row r="143" spans="4:5">
      <c r="D143" s="21"/>
      <c r="E143" s="21"/>
    </row>
    <row r="144" spans="4:5">
      <c r="D144" s="21"/>
      <c r="E144" s="21"/>
    </row>
    <row r="145" spans="4:5">
      <c r="D145" s="21"/>
      <c r="E145" s="21"/>
    </row>
    <row r="146" spans="4:5">
      <c r="D146" s="21"/>
      <c r="E146" s="21"/>
    </row>
    <row r="147" spans="4:5">
      <c r="D147" s="21"/>
      <c r="E147" s="21"/>
    </row>
    <row r="148" spans="4:5">
      <c r="D148" s="21"/>
      <c r="E148" s="21"/>
    </row>
    <row r="149" spans="4:5">
      <c r="D149" s="21"/>
      <c r="E149" s="21"/>
    </row>
    <row r="150" spans="4:5">
      <c r="D150" s="21"/>
      <c r="E150" s="21"/>
    </row>
    <row r="151" spans="4:5">
      <c r="D151" s="21"/>
      <c r="E151" s="21"/>
    </row>
    <row r="152" spans="4:5">
      <c r="D152" s="21"/>
      <c r="E152" s="21"/>
    </row>
    <row r="153" spans="4:5">
      <c r="D153" s="21"/>
      <c r="E153" s="21"/>
    </row>
    <row r="154" spans="4:5">
      <c r="D154" s="21"/>
      <c r="E154" s="21"/>
    </row>
    <row r="155" spans="4:5">
      <c r="D155" s="21"/>
      <c r="E155" s="21"/>
    </row>
    <row r="156" spans="4:5">
      <c r="D156" s="21"/>
      <c r="E156" s="21"/>
    </row>
    <row r="157" spans="4:5">
      <c r="D157" s="21"/>
      <c r="E157" s="21"/>
    </row>
    <row r="158" spans="4:5">
      <c r="D158" s="21"/>
      <c r="E158" s="21"/>
    </row>
    <row r="159" spans="4:5">
      <c r="D159" s="21"/>
      <c r="E159" s="21"/>
    </row>
    <row r="160" spans="4:5">
      <c r="D160" s="21"/>
      <c r="E160" s="21"/>
    </row>
    <row r="161" spans="4:5">
      <c r="D161" s="21"/>
      <c r="E161" s="21"/>
    </row>
    <row r="162" spans="4:5">
      <c r="D162" s="21"/>
      <c r="E162" s="21"/>
    </row>
    <row r="163" spans="4:5">
      <c r="D163" s="21"/>
      <c r="E163" s="21"/>
    </row>
    <row r="164" spans="4:5">
      <c r="D164" s="21"/>
      <c r="E164" s="21"/>
    </row>
    <row r="165" spans="4:5">
      <c r="D165" s="21"/>
      <c r="E165" s="21"/>
    </row>
    <row r="166" spans="4:5">
      <c r="D166" s="21"/>
      <c r="E166" s="21"/>
    </row>
    <row r="167" spans="4:5">
      <c r="D167" s="21"/>
      <c r="E167" s="21"/>
    </row>
    <row r="168" spans="4:5">
      <c r="D168" s="21"/>
      <c r="E168" s="21"/>
    </row>
    <row r="169" spans="4:5">
      <c r="D169" s="21"/>
      <c r="E169" s="21"/>
    </row>
    <row r="170" spans="4:5">
      <c r="D170" s="21"/>
      <c r="E170" s="21"/>
    </row>
    <row r="171" spans="4:5">
      <c r="D171" s="21"/>
      <c r="E171" s="21"/>
    </row>
    <row r="172" spans="4:5">
      <c r="D172" s="21"/>
      <c r="E172" s="21"/>
    </row>
    <row r="173" spans="4:5">
      <c r="D173" s="21"/>
      <c r="E173" s="21"/>
    </row>
    <row r="174" spans="4:5">
      <c r="D174" s="21"/>
      <c r="E174" s="21"/>
    </row>
    <row r="175" spans="4:5">
      <c r="D175" s="21"/>
      <c r="E175" s="21"/>
    </row>
    <row r="176" spans="4:5">
      <c r="D176" s="21"/>
      <c r="E176" s="21"/>
    </row>
    <row r="177" spans="4:5">
      <c r="D177" s="21"/>
      <c r="E177" s="21"/>
    </row>
    <row r="178" spans="4:5">
      <c r="D178" s="21"/>
      <c r="E178" s="21"/>
    </row>
    <row r="179" spans="4:5">
      <c r="D179" s="21"/>
      <c r="E179" s="21"/>
    </row>
    <row r="180" spans="4:5">
      <c r="D180" s="21"/>
      <c r="E180" s="21"/>
    </row>
    <row r="181" spans="4:5">
      <c r="D181" s="21"/>
      <c r="E181" s="21"/>
    </row>
    <row r="182" spans="4:5">
      <c r="D182" s="21"/>
      <c r="E182" s="21"/>
    </row>
    <row r="183" spans="4:5">
      <c r="D183" s="21"/>
      <c r="E183" s="21"/>
    </row>
    <row r="184" spans="4:5">
      <c r="D184" s="21"/>
      <c r="E184" s="21"/>
    </row>
    <row r="185" spans="4:5">
      <c r="D185" s="21"/>
      <c r="E185" s="21"/>
    </row>
    <row r="186" spans="4:5">
      <c r="D186" s="21"/>
      <c r="E186" s="21"/>
    </row>
    <row r="187" spans="4:5">
      <c r="D187" s="21"/>
      <c r="E187" s="21"/>
    </row>
    <row r="188" spans="4:5">
      <c r="D188" s="21"/>
      <c r="E188" s="21"/>
    </row>
    <row r="189" spans="4:5">
      <c r="D189" s="21"/>
      <c r="E189" s="21"/>
    </row>
    <row r="190" spans="4:5">
      <c r="D190" s="21"/>
      <c r="E190" s="21"/>
    </row>
    <row r="191" spans="4:5">
      <c r="D191" s="21"/>
      <c r="E191" s="21"/>
    </row>
    <row r="192" spans="4:5">
      <c r="D192" s="21"/>
      <c r="E192" s="21"/>
    </row>
    <row r="193" spans="4:5">
      <c r="D193" s="21"/>
      <c r="E193" s="21"/>
    </row>
    <row r="194" spans="4:5">
      <c r="D194" s="21"/>
      <c r="E194" s="21"/>
    </row>
    <row r="195" spans="4:5">
      <c r="D195" s="21"/>
      <c r="E195" s="21"/>
    </row>
    <row r="196" spans="4:5">
      <c r="D196" s="21"/>
      <c r="E196" s="21"/>
    </row>
    <row r="197" spans="4:5">
      <c r="D197" s="21"/>
      <c r="E197" s="21"/>
    </row>
    <row r="198" spans="4:5">
      <c r="D198" s="21"/>
      <c r="E198" s="21"/>
    </row>
    <row r="199" spans="4:5">
      <c r="D199" s="21"/>
      <c r="E199" s="21"/>
    </row>
    <row r="200" spans="4:5">
      <c r="D200" s="21"/>
      <c r="E200" s="21"/>
    </row>
    <row r="201" spans="4:5">
      <c r="D201" s="21"/>
      <c r="E201" s="21"/>
    </row>
    <row r="202" spans="4:5">
      <c r="D202" s="21"/>
      <c r="E202" s="21"/>
    </row>
    <row r="203" spans="4:5">
      <c r="D203" s="21"/>
      <c r="E203" s="21"/>
    </row>
    <row r="204" spans="4:5">
      <c r="D204" s="21"/>
      <c r="E204" s="21"/>
    </row>
    <row r="205" spans="4:5">
      <c r="D205" s="21"/>
      <c r="E205" s="21"/>
    </row>
    <row r="206" spans="4:5">
      <c r="D206" s="21"/>
      <c r="E206" s="21"/>
    </row>
    <row r="207" spans="4:5">
      <c r="D207" s="21"/>
      <c r="E207" s="21"/>
    </row>
    <row r="208" spans="4:5">
      <c r="D208" s="21"/>
      <c r="E208" s="21"/>
    </row>
    <row r="209" spans="4:5">
      <c r="D209" s="21"/>
      <c r="E209" s="21"/>
    </row>
    <row r="210" spans="4:5">
      <c r="D210" s="21"/>
      <c r="E210" s="21"/>
    </row>
    <row r="211" spans="4:5">
      <c r="D211" s="21"/>
      <c r="E211" s="21"/>
    </row>
    <row r="212" spans="4:5">
      <c r="D212" s="21"/>
      <c r="E212" s="21"/>
    </row>
    <row r="213" spans="4:5">
      <c r="D213" s="21"/>
      <c r="E213" s="21"/>
    </row>
    <row r="214" spans="4:5">
      <c r="D214" s="21"/>
      <c r="E214" s="21"/>
    </row>
    <row r="215" spans="4:5">
      <c r="D215" s="21"/>
      <c r="E215" s="21"/>
    </row>
    <row r="216" spans="4:5">
      <c r="D216" s="21"/>
      <c r="E216" s="21"/>
    </row>
    <row r="217" spans="4:5">
      <c r="D217" s="21"/>
      <c r="E217" s="21"/>
    </row>
    <row r="218" spans="4:5">
      <c r="D218" s="21"/>
      <c r="E218" s="21"/>
    </row>
    <row r="219" spans="4:5">
      <c r="D219" s="21"/>
      <c r="E219" s="21"/>
    </row>
    <row r="220" spans="4:5">
      <c r="D220" s="21"/>
      <c r="E220" s="21"/>
    </row>
    <row r="221" spans="4:5">
      <c r="D221" s="21"/>
      <c r="E221" s="21"/>
    </row>
    <row r="222" spans="4:5">
      <c r="D222" s="21"/>
      <c r="E222" s="21"/>
    </row>
    <row r="223" spans="4:5">
      <c r="D223" s="21"/>
      <c r="E223" s="21"/>
    </row>
    <row r="224" spans="4:5">
      <c r="D224" s="21"/>
      <c r="E224" s="21"/>
    </row>
    <row r="225" spans="4:5">
      <c r="D225" s="21"/>
      <c r="E225" s="21"/>
    </row>
    <row r="226" spans="4:5">
      <c r="D226" s="21"/>
      <c r="E226" s="21"/>
    </row>
    <row r="227" spans="4:5">
      <c r="D227" s="21"/>
      <c r="E227" s="21"/>
    </row>
    <row r="228" spans="4:5">
      <c r="D228" s="21"/>
      <c r="E228" s="21"/>
    </row>
    <row r="229" spans="4:5">
      <c r="D229" s="21"/>
      <c r="E229" s="21"/>
    </row>
    <row r="230" spans="4:5">
      <c r="D230" s="21"/>
      <c r="E230" s="21"/>
    </row>
    <row r="231" spans="4:5">
      <c r="D231" s="21"/>
      <c r="E231" s="21"/>
    </row>
    <row r="232" spans="4:5">
      <c r="D232" s="21"/>
      <c r="E232" s="21"/>
    </row>
    <row r="233" spans="4:5">
      <c r="D233" s="21"/>
      <c r="E233" s="21"/>
    </row>
    <row r="234" spans="4:5">
      <c r="D234" s="21"/>
      <c r="E234" s="21"/>
    </row>
    <row r="235" spans="4:5">
      <c r="D235" s="21"/>
      <c r="E235" s="21"/>
    </row>
    <row r="236" spans="4:5">
      <c r="D236" s="21"/>
      <c r="E236" s="21"/>
    </row>
    <row r="237" spans="4:5">
      <c r="D237" s="21"/>
      <c r="E237" s="21"/>
    </row>
    <row r="238" spans="4:5">
      <c r="D238" s="21"/>
      <c r="E238" s="21"/>
    </row>
    <row r="239" spans="4:5">
      <c r="D239" s="21"/>
      <c r="E239" s="21"/>
    </row>
    <row r="240" spans="4:5">
      <c r="D240" s="21"/>
      <c r="E240" s="21"/>
    </row>
    <row r="241" spans="4:5">
      <c r="D241" s="21"/>
      <c r="E241" s="21"/>
    </row>
    <row r="242" spans="4:5">
      <c r="D242" s="21"/>
      <c r="E242" s="21"/>
    </row>
    <row r="243" spans="4:5">
      <c r="D243" s="21"/>
      <c r="E243" s="21"/>
    </row>
    <row r="244" spans="4:5">
      <c r="D244" s="21"/>
      <c r="E244" s="21"/>
    </row>
    <row r="245" spans="4:5">
      <c r="D245" s="21"/>
      <c r="E245" s="21"/>
    </row>
    <row r="246" spans="4:5">
      <c r="D246" s="21"/>
      <c r="E246" s="21"/>
    </row>
    <row r="247" spans="4:5">
      <c r="D247" s="21"/>
      <c r="E247" s="21"/>
    </row>
    <row r="248" spans="4:5">
      <c r="D248" s="21"/>
      <c r="E248" s="21"/>
    </row>
    <row r="249" spans="4:5">
      <c r="D249" s="21"/>
      <c r="E249" s="21"/>
    </row>
    <row r="250" spans="4:5">
      <c r="D250" s="21"/>
      <c r="E250" s="21"/>
    </row>
    <row r="251" spans="4:5">
      <c r="D251" s="21"/>
      <c r="E251" s="21"/>
    </row>
    <row r="252" spans="4:5">
      <c r="D252" s="21"/>
      <c r="E252" s="21"/>
    </row>
    <row r="253" spans="4:5">
      <c r="D253" s="21"/>
      <c r="E253" s="21"/>
    </row>
    <row r="254" spans="4:5">
      <c r="D254" s="21"/>
      <c r="E254" s="21"/>
    </row>
    <row r="255" spans="4:5">
      <c r="D255" s="21"/>
      <c r="E255" s="21"/>
    </row>
    <row r="256" spans="4:5">
      <c r="D256" s="21"/>
      <c r="E256" s="21"/>
    </row>
    <row r="257" spans="4:5">
      <c r="D257" s="21"/>
      <c r="E257" s="21"/>
    </row>
    <row r="258" spans="4:5">
      <c r="D258" s="21"/>
      <c r="E258" s="21"/>
    </row>
    <row r="259" spans="4:5">
      <c r="D259" s="21"/>
      <c r="E259" s="21"/>
    </row>
    <row r="260" spans="4:5">
      <c r="D260" s="21"/>
      <c r="E260" s="21"/>
    </row>
    <row r="261" spans="4:5">
      <c r="D261" s="21"/>
      <c r="E261" s="21"/>
    </row>
    <row r="262" spans="4:5">
      <c r="D262" s="21"/>
      <c r="E262" s="21"/>
    </row>
    <row r="263" spans="4:5">
      <c r="D263" s="21"/>
      <c r="E263" s="21"/>
    </row>
    <row r="264" spans="4:5">
      <c r="D264" s="21"/>
      <c r="E264" s="21"/>
    </row>
    <row r="265" spans="4:5">
      <c r="D265" s="21"/>
      <c r="E265" s="21"/>
    </row>
    <row r="266" spans="4:5">
      <c r="D266" s="21"/>
      <c r="E266" s="21"/>
    </row>
    <row r="267" spans="4:5">
      <c r="D267" s="21"/>
      <c r="E267" s="21"/>
    </row>
    <row r="268" spans="4:5">
      <c r="D268" s="21"/>
      <c r="E268" s="21"/>
    </row>
    <row r="269" spans="4:5">
      <c r="D269" s="21"/>
      <c r="E269" s="21"/>
    </row>
    <row r="270" spans="4:5">
      <c r="D270" s="21"/>
      <c r="E270" s="21"/>
    </row>
    <row r="271" spans="4:5">
      <c r="D271" s="21"/>
      <c r="E271" s="21"/>
    </row>
    <row r="272" spans="4:5">
      <c r="D272" s="21"/>
      <c r="E272" s="21"/>
    </row>
    <row r="273" spans="4:5">
      <c r="D273" s="21"/>
      <c r="E273" s="21"/>
    </row>
    <row r="274" spans="4:5">
      <c r="D274" s="21"/>
      <c r="E274" s="21"/>
    </row>
    <row r="275" spans="4:5">
      <c r="D275" s="21"/>
      <c r="E275" s="21"/>
    </row>
    <row r="276" spans="4:5">
      <c r="D276" s="21"/>
      <c r="E276" s="21"/>
    </row>
    <row r="277" spans="4:5">
      <c r="D277" s="21"/>
      <c r="E277" s="21"/>
    </row>
    <row r="278" spans="4:5">
      <c r="D278" s="21"/>
      <c r="E278" s="21"/>
    </row>
    <row r="279" spans="4:5">
      <c r="D279" s="21"/>
      <c r="E279" s="21"/>
    </row>
    <row r="280" spans="4:5">
      <c r="D280" s="21"/>
      <c r="E280" s="21"/>
    </row>
    <row r="281" spans="4:5">
      <c r="D281" s="21"/>
      <c r="E281" s="21"/>
    </row>
    <row r="282" spans="4:5">
      <c r="D282" s="21"/>
      <c r="E282" s="21"/>
    </row>
    <row r="283" spans="4:5">
      <c r="D283" s="21"/>
      <c r="E283" s="21"/>
    </row>
    <row r="284" spans="4:5">
      <c r="D284" s="21"/>
      <c r="E284" s="21"/>
    </row>
    <row r="285" spans="4:5">
      <c r="D285" s="21"/>
      <c r="E285" s="21"/>
    </row>
    <row r="286" spans="4:5">
      <c r="D286" s="21"/>
      <c r="E286" s="21"/>
    </row>
    <row r="287" spans="4:5">
      <c r="D287" s="21"/>
      <c r="E287" s="21"/>
    </row>
    <row r="288" spans="4:5">
      <c r="D288" s="21"/>
      <c r="E288" s="21"/>
    </row>
    <row r="289" spans="4:5">
      <c r="D289" s="21"/>
      <c r="E289" s="21"/>
    </row>
    <row r="290" spans="4:5">
      <c r="D290" s="21"/>
      <c r="E290" s="21"/>
    </row>
    <row r="291" spans="4:5">
      <c r="D291" s="21"/>
      <c r="E291" s="21"/>
    </row>
    <row r="292" spans="4:5">
      <c r="D292" s="21"/>
      <c r="E292" s="21"/>
    </row>
    <row r="25000" spans="201:202">
      <c r="GS25000" s="3" t="s">
        <v>66</v>
      </c>
      <c r="GT25000" s="3">
        <v>1</v>
      </c>
    </row>
    <row r="64999" spans="250:250">
      <c r="IP64999" s="3" t="s">
        <v>67</v>
      </c>
    </row>
    <row r="65000" spans="250:250">
      <c r="IP65000" s="3" t="s">
        <v>67</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8D3A8-8E48-4BF8-A5FE-5E909F5FE80A}">
  <dimension ref="A1:IP64996"/>
  <sheetViews>
    <sheetView topLeftCell="B1" workbookViewId="0">
      <pane xSplit="4" ySplit="1" topLeftCell="F2" activePane="bottomRight" state="frozen"/>
      <selection activeCell="B1" sqref="B1"/>
      <selection pane="topRight" activeCell="F1" sqref="F1"/>
      <selection pane="bottomLeft" activeCell="B2" sqref="B2"/>
      <selection pane="bottomRight" activeCell="K2" sqref="K2"/>
    </sheetView>
  </sheetViews>
  <sheetFormatPr baseColWidth="10" defaultColWidth="8.4140625" defaultRowHeight="14.5"/>
  <cols>
    <col min="1" max="1" width="25" style="3" hidden="1" customWidth="1"/>
    <col min="2" max="2" width="24.9140625" style="3" bestFit="1" customWidth="1"/>
    <col min="3" max="3" width="36.33203125" style="3" bestFit="1" customWidth="1"/>
    <col min="4" max="4" width="26.33203125" style="3" hidden="1" customWidth="1"/>
    <col min="5" max="5" width="32.33203125" style="3" hidden="1" customWidth="1"/>
    <col min="6" max="6" width="25" style="3" customWidth="1"/>
    <col min="7" max="7" width="31.25" style="3" customWidth="1"/>
    <col min="8" max="9" width="25" style="3" customWidth="1"/>
    <col min="10" max="10" width="26.6640625" style="3" customWidth="1"/>
    <col min="11" max="11" width="25" style="3" customWidth="1"/>
    <col min="12" max="12" width="25" style="3" hidden="1" customWidth="1"/>
    <col min="13" max="189" width="8.4140625" style="3"/>
    <col min="190" max="190" width="15.25" style="3" customWidth="1"/>
    <col min="191" max="191" width="20.25" style="3" customWidth="1"/>
    <col min="192" max="16384" width="8.4140625" style="3"/>
  </cols>
  <sheetData>
    <row r="1" spans="1:191">
      <c r="A1" s="1" t="s">
        <v>0</v>
      </c>
      <c r="B1" s="1" t="s">
        <v>1</v>
      </c>
      <c r="C1" s="2" t="s">
        <v>2</v>
      </c>
      <c r="D1" s="3" t="s">
        <v>75</v>
      </c>
      <c r="E1" s="3" t="s">
        <v>76</v>
      </c>
      <c r="F1" s="3" t="s">
        <v>77</v>
      </c>
      <c r="G1" s="3" t="s">
        <v>78</v>
      </c>
      <c r="H1" s="3" t="s">
        <v>79</v>
      </c>
      <c r="I1" s="3" t="s">
        <v>80</v>
      </c>
      <c r="J1" s="3" t="s">
        <v>81</v>
      </c>
      <c r="K1" s="3" t="s">
        <v>82</v>
      </c>
      <c r="L1" s="8" t="s">
        <v>83</v>
      </c>
      <c r="FY1" s="3" t="s">
        <v>16</v>
      </c>
      <c r="FZ1" s="3" t="s">
        <v>84</v>
      </c>
      <c r="GA1" s="3">
        <v>4</v>
      </c>
      <c r="GB1" s="3" t="s">
        <v>85</v>
      </c>
      <c r="GC1" s="3" t="s">
        <v>86</v>
      </c>
      <c r="GD1" s="3" t="s">
        <v>87</v>
      </c>
      <c r="GE1" s="3" t="s">
        <v>88</v>
      </c>
      <c r="GF1" s="3" t="s">
        <v>89</v>
      </c>
      <c r="GG1" s="3" t="s">
        <v>90</v>
      </c>
      <c r="GH1" s="3" t="s">
        <v>91</v>
      </c>
      <c r="GI1" s="3" t="s">
        <v>92</v>
      </c>
    </row>
    <row r="2" spans="1:191">
      <c r="A2" s="4"/>
      <c r="B2" s="3" t="str">
        <f>'Application Info'!B2</f>
        <v>Surgir</v>
      </c>
      <c r="C2" s="4" t="str">
        <f>'Application Info'!C2</f>
        <v>SAP by Design</v>
      </c>
      <c r="D2" s="4"/>
      <c r="E2" s="4"/>
      <c r="F2" s="4" t="s">
        <v>102</v>
      </c>
      <c r="G2" s="4" t="s">
        <v>96</v>
      </c>
      <c r="H2" s="4" t="s">
        <v>104</v>
      </c>
      <c r="I2" s="4"/>
      <c r="J2" s="4"/>
      <c r="K2" s="4"/>
      <c r="L2" s="4"/>
      <c r="FY2" s="3" t="s">
        <v>93</v>
      </c>
      <c r="GA2" s="3">
        <v>5</v>
      </c>
      <c r="GB2" s="3" t="s">
        <v>94</v>
      </c>
      <c r="GC2" s="3" t="s">
        <v>94</v>
      </c>
      <c r="GD2" s="3" t="s">
        <v>95</v>
      </c>
      <c r="GE2" s="3" t="s">
        <v>96</v>
      </c>
      <c r="GF2" s="3" t="s">
        <v>97</v>
      </c>
      <c r="GG2" s="3" t="s">
        <v>98</v>
      </c>
      <c r="GH2" s="3" t="s">
        <v>99</v>
      </c>
      <c r="GI2" s="3" t="s">
        <v>100</v>
      </c>
    </row>
    <row r="3" spans="1:191">
      <c r="B3" s="3" t="str">
        <f>'Application Info'!B3</f>
        <v>Surgir</v>
      </c>
      <c r="C3" s="4" t="str">
        <f>'Application Info'!C3</f>
        <v>App Surgir</v>
      </c>
      <c r="F3" s="4" t="s">
        <v>795</v>
      </c>
      <c r="G3" s="3" t="s">
        <v>45</v>
      </c>
      <c r="H3" s="3" t="s">
        <v>97</v>
      </c>
      <c r="FY3" s="3" t="s">
        <v>101</v>
      </c>
      <c r="GD3" s="3" t="s">
        <v>102</v>
      </c>
      <c r="GE3" s="3" t="s">
        <v>103</v>
      </c>
      <c r="GF3" s="3" t="s">
        <v>104</v>
      </c>
      <c r="GG3" s="3" t="s">
        <v>105</v>
      </c>
      <c r="GH3" s="3" t="s">
        <v>106</v>
      </c>
      <c r="GI3" s="3" t="s">
        <v>107</v>
      </c>
    </row>
    <row r="4" spans="1:191">
      <c r="B4" s="3" t="str">
        <f>'Application Info'!B4</f>
        <v>Surgir</v>
      </c>
      <c r="C4" s="4" t="str">
        <f>'Application Info'!C4</f>
        <v>App Cliente</v>
      </c>
      <c r="F4" s="4" t="s">
        <v>102</v>
      </c>
      <c r="G4" s="4" t="s">
        <v>96</v>
      </c>
      <c r="H4" s="3" t="s">
        <v>97</v>
      </c>
      <c r="FY4" s="3" t="s">
        <v>108</v>
      </c>
      <c r="GD4" s="3" t="s">
        <v>109</v>
      </c>
      <c r="GE4" s="3" t="s">
        <v>110</v>
      </c>
      <c r="GF4" s="3" t="s">
        <v>111</v>
      </c>
      <c r="GG4" s="3" t="s">
        <v>112</v>
      </c>
      <c r="GH4" s="3" t="s">
        <v>113</v>
      </c>
      <c r="GI4" s="3" t="s">
        <v>114</v>
      </c>
    </row>
    <row r="5" spans="1:191">
      <c r="B5" s="3" t="str">
        <f>'Application Info'!B5</f>
        <v>Surgir</v>
      </c>
      <c r="C5" s="4" t="str">
        <f>'Application Info'!C5</f>
        <v>AMLUpdate - Name Screening</v>
      </c>
      <c r="F5" s="4" t="s">
        <v>95</v>
      </c>
      <c r="G5" s="4" t="s">
        <v>96</v>
      </c>
      <c r="H5" s="3" t="s">
        <v>104</v>
      </c>
      <c r="FY5" s="3" t="s">
        <v>115</v>
      </c>
      <c r="GD5" s="3" t="s">
        <v>795</v>
      </c>
      <c r="GE5" s="3" t="s">
        <v>45</v>
      </c>
      <c r="GF5" s="3" t="s">
        <v>45</v>
      </c>
      <c r="GG5" s="3" t="s">
        <v>116</v>
      </c>
      <c r="GH5" s="3" t="s">
        <v>117</v>
      </c>
      <c r="GI5" s="3" t="s">
        <v>118</v>
      </c>
    </row>
    <row r="6" spans="1:191">
      <c r="B6" s="3" t="str">
        <f>'Application Info'!B6</f>
        <v>Surgir</v>
      </c>
      <c r="C6" s="4" t="str">
        <f>'Application Info'!C6</f>
        <v>Portal Web Público</v>
      </c>
      <c r="F6" s="4" t="s">
        <v>102</v>
      </c>
      <c r="G6" s="4" t="s">
        <v>96</v>
      </c>
      <c r="H6" s="3" t="s">
        <v>97</v>
      </c>
      <c r="FY6" s="3" t="s">
        <v>119</v>
      </c>
      <c r="GE6" s="3" t="s">
        <v>120</v>
      </c>
      <c r="GF6" s="3" t="s">
        <v>120</v>
      </c>
      <c r="GG6" s="3" t="s">
        <v>121</v>
      </c>
      <c r="GH6" s="3" t="s">
        <v>120</v>
      </c>
      <c r="GI6" s="3" t="s">
        <v>120</v>
      </c>
    </row>
    <row r="7" spans="1:191">
      <c r="B7" s="3" t="str">
        <f>'Application Info'!B7</f>
        <v>Surgir</v>
      </c>
      <c r="C7" s="4" t="str">
        <f>'Application Info'!C7</f>
        <v>Anura</v>
      </c>
      <c r="F7" s="4" t="s">
        <v>95</v>
      </c>
      <c r="G7" s="4" t="s">
        <v>96</v>
      </c>
      <c r="H7" s="3" t="s">
        <v>111</v>
      </c>
      <c r="FY7" s="3" t="s">
        <v>122</v>
      </c>
      <c r="GG7" s="3" t="s">
        <v>120</v>
      </c>
    </row>
    <row r="8" spans="1:191">
      <c r="B8" s="3" t="str">
        <f>'Application Info'!B8</f>
        <v>Surgir</v>
      </c>
      <c r="C8" s="4" t="str">
        <f>'Application Info'!C8</f>
        <v>ERP Contanet</v>
      </c>
      <c r="F8" s="4" t="s">
        <v>95</v>
      </c>
      <c r="G8" s="4" t="s">
        <v>96</v>
      </c>
      <c r="H8" s="3" t="s">
        <v>111</v>
      </c>
      <c r="FY8" s="3" t="s">
        <v>123</v>
      </c>
      <c r="GG8" s="3" t="s">
        <v>45</v>
      </c>
    </row>
    <row r="9" spans="1:191">
      <c r="B9" s="3" t="str">
        <f>'Application Info'!B9</f>
        <v>Surgir</v>
      </c>
      <c r="C9" s="4" t="str">
        <f>'Application Info'!C9</f>
        <v>Datalake</v>
      </c>
      <c r="F9" s="4" t="s">
        <v>95</v>
      </c>
      <c r="G9" s="4" t="s">
        <v>96</v>
      </c>
      <c r="H9" s="3" t="s">
        <v>104</v>
      </c>
      <c r="FY9" s="3" t="s">
        <v>124</v>
      </c>
      <c r="GG9" s="3" t="s">
        <v>51</v>
      </c>
    </row>
    <row r="10" spans="1:191">
      <c r="B10" s="3" t="str">
        <f>'Application Info'!B10</f>
        <v>Surgir</v>
      </c>
      <c r="C10" s="4" t="str">
        <f>'Application Info'!C10</f>
        <v>Cobis</v>
      </c>
      <c r="F10" s="4" t="s">
        <v>109</v>
      </c>
      <c r="G10" s="4" t="s">
        <v>96</v>
      </c>
      <c r="H10" s="3" t="s">
        <v>104</v>
      </c>
    </row>
    <row r="11" spans="1:191">
      <c r="B11" s="3" t="str">
        <f>'Application Info'!B11</f>
        <v>Santander Fondos Colectivos</v>
      </c>
      <c r="C11" s="4" t="str">
        <f>'Application Info'!C11</f>
        <v>Emblue</v>
      </c>
      <c r="F11" s="4" t="s">
        <v>102</v>
      </c>
      <c r="G11" s="3" t="s">
        <v>110</v>
      </c>
      <c r="H11" s="3" t="s">
        <v>45</v>
      </c>
    </row>
    <row r="12" spans="1:191">
      <c r="B12" s="3" t="str">
        <f>'Application Info'!B12</f>
        <v>Santander Fondos Colectivos</v>
      </c>
      <c r="C12" s="4" t="str">
        <f>'Application Info'!C12</f>
        <v>Facephi</v>
      </c>
      <c r="F12" s="4" t="s">
        <v>102</v>
      </c>
      <c r="G12" s="4" t="s">
        <v>96</v>
      </c>
      <c r="H12" s="3" t="s">
        <v>45</v>
      </c>
    </row>
    <row r="13" spans="1:191">
      <c r="B13" s="3" t="str">
        <f>'Application Info'!B13</f>
        <v>Santander Fondos Colectivos</v>
      </c>
      <c r="C13" s="4" t="str">
        <f>'Application Info'!C13</f>
        <v>Mapfre</v>
      </c>
      <c r="F13" s="4" t="s">
        <v>795</v>
      </c>
      <c r="G13" s="3" t="s">
        <v>110</v>
      </c>
      <c r="H13" s="3" t="s">
        <v>104</v>
      </c>
    </row>
    <row r="14" spans="1:191">
      <c r="B14" s="3" t="str">
        <f>'Application Info'!B14</f>
        <v>Santander Fondos Colectivos</v>
      </c>
      <c r="C14" s="4" t="str">
        <f>'Application Info'!C14</f>
        <v>Tracklink</v>
      </c>
      <c r="F14" s="4" t="s">
        <v>102</v>
      </c>
      <c r="G14" s="3" t="s">
        <v>110</v>
      </c>
      <c r="H14" s="3" t="s">
        <v>45</v>
      </c>
    </row>
    <row r="15" spans="1:191">
      <c r="B15" s="3" t="str">
        <f>'Application Info'!B15</f>
        <v>Santander Fondos Colectivos</v>
      </c>
      <c r="C15" s="4" t="str">
        <f>'Application Info'!C15</f>
        <v>Docuclass</v>
      </c>
      <c r="F15" s="4" t="s">
        <v>102</v>
      </c>
      <c r="G15" s="4" t="s">
        <v>96</v>
      </c>
      <c r="H15" s="3" t="s">
        <v>104</v>
      </c>
    </row>
    <row r="16" spans="1:191">
      <c r="B16" s="3" t="str">
        <f>'Application Info'!B16</f>
        <v>Santander Fondos Colectivos</v>
      </c>
      <c r="C16" s="4" t="str">
        <f>'Application Info'!C16</f>
        <v>Diloo</v>
      </c>
      <c r="F16" s="4" t="s">
        <v>102</v>
      </c>
      <c r="G16" s="3" t="s">
        <v>110</v>
      </c>
      <c r="H16" s="3" t="s">
        <v>45</v>
      </c>
    </row>
    <row r="17" spans="2:8">
      <c r="B17" s="3" t="str">
        <f>'Application Info'!B17</f>
        <v>Santander Fondos Colectivos</v>
      </c>
      <c r="C17" s="4" t="str">
        <f>'Application Info'!C17</f>
        <v>Izipay Pagos en línea</v>
      </c>
      <c r="F17" s="4" t="s">
        <v>95</v>
      </c>
      <c r="G17" s="4" t="s">
        <v>96</v>
      </c>
      <c r="H17" s="3" t="s">
        <v>104</v>
      </c>
    </row>
    <row r="18" spans="2:8">
      <c r="B18" s="3" t="str">
        <f>'Application Info'!B18</f>
        <v>Santander Fondos Colectivos</v>
      </c>
      <c r="C18" s="4" t="str">
        <f>'Application Info'!C18</f>
        <v>IBK Recaudación</v>
      </c>
      <c r="F18" s="4" t="s">
        <v>102</v>
      </c>
      <c r="G18" s="3" t="s">
        <v>110</v>
      </c>
      <c r="H18" s="3" t="s">
        <v>104</v>
      </c>
    </row>
    <row r="19" spans="2:8">
      <c r="B19" s="3" t="str">
        <f>'Application Info'!B19</f>
        <v>Santander Fondos Colectivos</v>
      </c>
      <c r="C19" s="4" t="str">
        <f>'Application Info'!C19</f>
        <v>SAP by Design</v>
      </c>
      <c r="F19" s="4" t="s">
        <v>109</v>
      </c>
      <c r="G19" s="4" t="s">
        <v>96</v>
      </c>
      <c r="H19" s="4" t="s">
        <v>104</v>
      </c>
    </row>
    <row r="20" spans="2:8">
      <c r="B20" s="3" t="str">
        <f>'Application Info'!B20</f>
        <v>Santander Fondos Colectivos</v>
      </c>
      <c r="C20" s="4" t="str">
        <f>'Application Info'!C20</f>
        <v>Portal Web Público</v>
      </c>
      <c r="F20" s="4" t="s">
        <v>109</v>
      </c>
      <c r="G20" s="4" t="s">
        <v>96</v>
      </c>
      <c r="H20" s="3" t="s">
        <v>97</v>
      </c>
    </row>
    <row r="21" spans="2:8">
      <c r="B21" s="3" t="str">
        <f>'Application Info'!B21</f>
        <v>Santander Fondos Colectivos</v>
      </c>
      <c r="C21" s="4" t="str">
        <f>'Application Info'!C21</f>
        <v>AMLUpdate - Name Screening</v>
      </c>
      <c r="F21" s="4" t="s">
        <v>95</v>
      </c>
      <c r="G21" s="4" t="s">
        <v>96</v>
      </c>
      <c r="H21" s="3" t="s">
        <v>104</v>
      </c>
    </row>
    <row r="22" spans="2:8">
      <c r="B22" s="3" t="str">
        <f>'Application Info'!B22</f>
        <v>Santander Fondos Colectivos</v>
      </c>
      <c r="C22" s="4" t="str">
        <f>'Application Info'!C22</f>
        <v>Santo</v>
      </c>
      <c r="F22" s="4" t="s">
        <v>102</v>
      </c>
      <c r="G22" s="4" t="s">
        <v>96</v>
      </c>
      <c r="H22" s="3" t="s">
        <v>104</v>
      </c>
    </row>
    <row r="23" spans="2:8">
      <c r="B23" s="3" t="str">
        <f>'Application Info'!B23</f>
        <v>SCIB Perú</v>
      </c>
      <c r="C23" s="4" t="str">
        <f>'Application Info'!C23</f>
        <v>Nuevo Office Banking</v>
      </c>
      <c r="F23" s="4" t="s">
        <v>795</v>
      </c>
      <c r="G23" s="4" t="s">
        <v>96</v>
      </c>
      <c r="H23" s="3" t="s">
        <v>97</v>
      </c>
    </row>
    <row r="24" spans="2:8">
      <c r="B24" s="3" t="str">
        <f>'Application Info'!B24</f>
        <v>SCIB Perú</v>
      </c>
      <c r="C24" s="4" t="str">
        <f>'Application Info'!C24</f>
        <v>CEEFFC</v>
      </c>
      <c r="F24" s="4" t="s">
        <v>102</v>
      </c>
      <c r="G24" s="3" t="s">
        <v>110</v>
      </c>
      <c r="H24" s="3" t="s">
        <v>111</v>
      </c>
    </row>
    <row r="25" spans="2:8">
      <c r="B25" s="3" t="str">
        <f>'Application Info'!B25</f>
        <v>SCIB Perú</v>
      </c>
      <c r="C25" s="4" t="str">
        <f>'Application Info'!C25</f>
        <v>Lbtr</v>
      </c>
      <c r="F25" s="4" t="s">
        <v>102</v>
      </c>
      <c r="G25" s="4" t="s">
        <v>96</v>
      </c>
      <c r="H25" s="3" t="s">
        <v>111</v>
      </c>
    </row>
    <row r="26" spans="2:8">
      <c r="B26" s="3" t="str">
        <f>'Application Info'!B26</f>
        <v>SCIB Perú</v>
      </c>
      <c r="C26" s="4" t="str">
        <f>'Application Info'!C26</f>
        <v>Cash Nexus</v>
      </c>
      <c r="F26" s="4" t="s">
        <v>95</v>
      </c>
      <c r="G26" s="4" t="s">
        <v>96</v>
      </c>
      <c r="H26" s="3" t="s">
        <v>111</v>
      </c>
    </row>
    <row r="27" spans="2:8">
      <c r="B27" s="3" t="str">
        <f>'Application Info'!B27</f>
        <v>SCIB Perú</v>
      </c>
      <c r="C27" s="4" t="str">
        <f>'Application Info'!C27</f>
        <v>Host to Host</v>
      </c>
      <c r="F27" s="4" t="s">
        <v>95</v>
      </c>
      <c r="G27" s="4" t="s">
        <v>96</v>
      </c>
      <c r="H27" s="3" t="s">
        <v>111</v>
      </c>
    </row>
    <row r="28" spans="2:8">
      <c r="B28" s="3" t="str">
        <f>'Application Info'!B28</f>
        <v>SCIB Perú</v>
      </c>
      <c r="C28" s="4" t="str">
        <f>'Application Info'!C28</f>
        <v>Sistema Office Banking</v>
      </c>
      <c r="F28" s="4" t="s">
        <v>109</v>
      </c>
      <c r="G28" s="4" t="s">
        <v>96</v>
      </c>
      <c r="H28" s="3" t="s">
        <v>104</v>
      </c>
    </row>
    <row r="29" spans="2:8">
      <c r="B29" s="3" t="str">
        <f>'Application Info'!B29</f>
        <v>Santander Consumer Perú</v>
      </c>
      <c r="C29" s="4" t="str">
        <f>'Application Info'!C29</f>
        <v>Diloo</v>
      </c>
      <c r="F29" s="4"/>
      <c r="G29" s="3" t="s">
        <v>110</v>
      </c>
      <c r="H29" s="3" t="s">
        <v>45</v>
      </c>
    </row>
    <row r="30" spans="2:8">
      <c r="B30" s="3" t="str">
        <f>'Application Info'!B30</f>
        <v>Santander Consumer Perú</v>
      </c>
      <c r="C30" s="4" t="str">
        <f>'Application Info'!C30</f>
        <v>Plataforma de Facturacion Electronica</v>
      </c>
      <c r="F30" s="4" t="s">
        <v>95</v>
      </c>
      <c r="G30" s="3" t="s">
        <v>110</v>
      </c>
      <c r="H30" s="3" t="s">
        <v>104</v>
      </c>
    </row>
    <row r="31" spans="2:8">
      <c r="B31" s="3" t="str">
        <f>'Application Info'!B31</f>
        <v>Santander Consumer Perú</v>
      </c>
      <c r="C31" s="4" t="str">
        <f>'Application Info'!C31</f>
        <v>Contáctanos</v>
      </c>
      <c r="F31" s="4" t="s">
        <v>102</v>
      </c>
      <c r="G31" s="4" t="s">
        <v>96</v>
      </c>
      <c r="H31" s="3" t="s">
        <v>97</v>
      </c>
    </row>
    <row r="32" spans="2:8">
      <c r="B32" s="3" t="str">
        <f>'Application Info'!B32</f>
        <v>Santander Consumer Perú</v>
      </c>
      <c r="C32" s="4" t="str">
        <f>'Application Info'!C32</f>
        <v>Visor Cobranzas</v>
      </c>
      <c r="F32" s="4"/>
      <c r="G32" s="4" t="s">
        <v>96</v>
      </c>
    </row>
    <row r="33" spans="2:8">
      <c r="B33" s="3" t="str">
        <f>'Application Info'!B33</f>
        <v>Santander Consumer Perú</v>
      </c>
      <c r="C33" s="4" t="str">
        <f>'Application Info'!C33</f>
        <v>Api Market</v>
      </c>
      <c r="F33" s="4" t="s">
        <v>102</v>
      </c>
      <c r="G33" s="4" t="s">
        <v>96</v>
      </c>
      <c r="H33" s="3" t="s">
        <v>104</v>
      </c>
    </row>
    <row r="34" spans="2:8">
      <c r="B34" s="3" t="str">
        <f>'Application Info'!B34</f>
        <v>Santander Consumer Perú</v>
      </c>
      <c r="C34" s="4" t="str">
        <f>'Application Info'!C34</f>
        <v>AMLUpdate - Name Screening</v>
      </c>
      <c r="F34" s="4"/>
      <c r="G34" s="3" t="s">
        <v>110</v>
      </c>
      <c r="H34" s="3" t="s">
        <v>104</v>
      </c>
    </row>
    <row r="35" spans="2:8">
      <c r="B35" s="3" t="str">
        <f>'Application Info'!B35</f>
        <v>Santander Consumer Perú</v>
      </c>
      <c r="C35" s="4" t="str">
        <f>'Application Info'!C35</f>
        <v>Facturación Electrónica - Auto</v>
      </c>
      <c r="F35" s="4" t="s">
        <v>95</v>
      </c>
      <c r="G35" s="3" t="s">
        <v>110</v>
      </c>
    </row>
    <row r="36" spans="2:8">
      <c r="B36" s="3" t="str">
        <f>'Application Info'!B36</f>
        <v>Santander Consumer Perú</v>
      </c>
      <c r="C36" s="4" t="str">
        <f>'Application Info'!C36</f>
        <v>Portal Web Público</v>
      </c>
      <c r="F36" s="4" t="s">
        <v>795</v>
      </c>
      <c r="G36" s="4" t="s">
        <v>96</v>
      </c>
      <c r="H36" s="3" t="s">
        <v>97</v>
      </c>
    </row>
    <row r="37" spans="2:8">
      <c r="B37" s="3" t="str">
        <f>'Application Info'!B37</f>
        <v>Santander Consumer Perú</v>
      </c>
      <c r="C37" s="4" t="str">
        <f>'Application Info'!C37</f>
        <v>SAP ByDesign - ERP</v>
      </c>
      <c r="F37" s="4" t="s">
        <v>795</v>
      </c>
      <c r="G37" s="4" t="s">
        <v>96</v>
      </c>
      <c r="H37" s="4" t="s">
        <v>104</v>
      </c>
    </row>
    <row r="38" spans="2:8">
      <c r="B38" s="3" t="str">
        <f>'Application Info'!B38</f>
        <v>Santander Consumer Perú</v>
      </c>
      <c r="C38" s="4" t="str">
        <f>'Application Info'!C38</f>
        <v>Bantotal - Core Bancario</v>
      </c>
      <c r="F38" s="4" t="s">
        <v>102</v>
      </c>
      <c r="G38" s="4" t="s">
        <v>96</v>
      </c>
      <c r="H38" s="3" t="s">
        <v>111</v>
      </c>
    </row>
    <row r="39" spans="2:8">
      <c r="B39" s="3" t="str">
        <f>'Application Info'!B39</f>
        <v>Santander Consumer Perú</v>
      </c>
      <c r="C39" s="4" t="str">
        <f>'Application Info'!C39</f>
        <v>Motor de Crédito</v>
      </c>
      <c r="F39" s="4" t="s">
        <v>109</v>
      </c>
      <c r="G39" s="4" t="s">
        <v>96</v>
      </c>
    </row>
    <row r="40" spans="2:8">
      <c r="B40" s="3" t="str">
        <f>'Application Info'!B40</f>
        <v>Santander Consumer Perú</v>
      </c>
      <c r="C40" s="4" t="str">
        <f>'Application Info'!C40</f>
        <v>Santi</v>
      </c>
      <c r="F40" s="4" t="s">
        <v>109</v>
      </c>
      <c r="G40" s="4" t="s">
        <v>96</v>
      </c>
      <c r="H40" s="3" t="s">
        <v>104</v>
      </c>
    </row>
    <row r="41" spans="2:8">
      <c r="B41" s="3" t="str">
        <f>'Application Info'!B41</f>
        <v>Santander Consumer Perú</v>
      </c>
      <c r="C41" s="4" t="str">
        <f>'Application Info'!C41</f>
        <v>Seguros La Positiva</v>
      </c>
      <c r="F41" s="4" t="s">
        <v>109</v>
      </c>
      <c r="G41" s="3" t="s">
        <v>110</v>
      </c>
      <c r="H41" s="3" t="s">
        <v>104</v>
      </c>
    </row>
    <row r="42" spans="2:8">
      <c r="B42" s="3" t="str">
        <f>'Application Info'!B42</f>
        <v>Santander Consumer Perú</v>
      </c>
      <c r="C42" s="4" t="str">
        <f>'Application Info'!C42</f>
        <v>Equifax</v>
      </c>
      <c r="F42" s="4" t="s">
        <v>102</v>
      </c>
      <c r="G42" s="3" t="s">
        <v>110</v>
      </c>
      <c r="H42" s="3" t="s">
        <v>45</v>
      </c>
    </row>
    <row r="43" spans="2:8">
      <c r="B43" s="3" t="str">
        <f>'Application Info'!B43</f>
        <v>Santander Consumer Perú</v>
      </c>
      <c r="C43" s="4" t="str">
        <f>'Application Info'!C43</f>
        <v>Docuclass</v>
      </c>
      <c r="F43" s="4" t="s">
        <v>109</v>
      </c>
      <c r="G43" s="3" t="s">
        <v>45</v>
      </c>
      <c r="H43" s="3" t="s">
        <v>104</v>
      </c>
    </row>
    <row r="44" spans="2:8">
      <c r="B44" s="3" t="str">
        <f>'Application Info'!B44</f>
        <v>Santander Consumer Perú</v>
      </c>
      <c r="C44" s="4" t="str">
        <f>'Application Info'!C44</f>
        <v>Seir</v>
      </c>
      <c r="F44" s="4" t="s">
        <v>95</v>
      </c>
      <c r="G44" s="4" t="s">
        <v>96</v>
      </c>
    </row>
    <row r="45" spans="2:8">
      <c r="B45" s="3" t="str">
        <f>'Application Info'!B45</f>
        <v>Santander Consumer Perú</v>
      </c>
      <c r="C45" s="4" t="str">
        <f>'Application Info'!C45</f>
        <v>Pomelo</v>
      </c>
      <c r="F45" s="4" t="s">
        <v>109</v>
      </c>
      <c r="G45" s="3" t="s">
        <v>110</v>
      </c>
    </row>
    <row r="46" spans="2:8">
      <c r="B46" s="3" t="str">
        <f>'Application Info'!B46</f>
        <v>Santander Consumer Perú</v>
      </c>
      <c r="C46" s="4" t="str">
        <f>'Application Info'!C46</f>
        <v>Izypay</v>
      </c>
      <c r="F46" s="4" t="s">
        <v>95</v>
      </c>
      <c r="G46" s="4" t="s">
        <v>96</v>
      </c>
      <c r="H46" s="3" t="s">
        <v>45</v>
      </c>
    </row>
    <row r="47" spans="2:8">
      <c r="B47" s="3" t="str">
        <f>'Application Info'!B47</f>
        <v>Santander Consumer Perú</v>
      </c>
      <c r="C47" s="4" t="str">
        <f>'Application Info'!C47</f>
        <v>Kasnet</v>
      </c>
      <c r="F47" s="4" t="s">
        <v>102</v>
      </c>
      <c r="G47" s="4" t="s">
        <v>96</v>
      </c>
      <c r="H47" s="3" t="s">
        <v>45</v>
      </c>
    </row>
    <row r="48" spans="2:8">
      <c r="B48" s="3" t="str">
        <f>'Application Info'!B48</f>
        <v>Santander Consumer Perú</v>
      </c>
      <c r="C48" s="4" t="str">
        <f>'Application Info'!C48</f>
        <v>ChatBot</v>
      </c>
      <c r="F48" s="4"/>
      <c r="G48" s="3" t="s">
        <v>110</v>
      </c>
      <c r="H48" s="3" t="s">
        <v>97</v>
      </c>
    </row>
    <row r="49" spans="2:8">
      <c r="B49" s="3" t="str">
        <f>'Application Info'!B49</f>
        <v>Santander Consumer Perú</v>
      </c>
      <c r="C49" s="4" t="str">
        <f>'Application Info'!C49</f>
        <v>Data Riesgos</v>
      </c>
      <c r="F49" s="4" t="s">
        <v>102</v>
      </c>
      <c r="G49" s="3" t="s">
        <v>110</v>
      </c>
    </row>
    <row r="50" spans="2:8">
      <c r="B50" s="3" t="str">
        <f>'Application Info'!B50</f>
        <v>Santander Consumer Perú</v>
      </c>
      <c r="C50" s="4" t="str">
        <f>'Application Info'!C50</f>
        <v>API OTP</v>
      </c>
      <c r="F50" s="4"/>
      <c r="G50" s="3" t="s">
        <v>110</v>
      </c>
      <c r="H50" s="3" t="s">
        <v>104</v>
      </c>
    </row>
    <row r="51" spans="2:8">
      <c r="B51" s="3" t="str">
        <f>'Application Info'!B51</f>
        <v>Santander Consumer Perú</v>
      </c>
      <c r="C51" s="4" t="str">
        <f>'Application Info'!C51</f>
        <v>API Portal</v>
      </c>
      <c r="F51" s="4" t="s">
        <v>102</v>
      </c>
      <c r="G51" s="3" t="s">
        <v>110</v>
      </c>
      <c r="H51" s="3" t="s">
        <v>104</v>
      </c>
    </row>
    <row r="52" spans="2:8">
      <c r="B52" s="3" t="str">
        <f>'Application Info'!B52</f>
        <v>Santander Consumer Perú</v>
      </c>
      <c r="C52" s="4" t="str">
        <f>'Application Info'!C52</f>
        <v>Venta Cartera</v>
      </c>
      <c r="F52" s="4" t="s">
        <v>795</v>
      </c>
      <c r="G52" s="3" t="s">
        <v>110</v>
      </c>
    </row>
    <row r="53" spans="2:8">
      <c r="B53" s="3" t="str">
        <f>'Application Info'!B53</f>
        <v>Santander Perú</v>
      </c>
      <c r="C53" s="4" t="str">
        <f>'Application Info'!C53</f>
        <v>Virtual Assistant P&amp;C</v>
      </c>
      <c r="F53" s="4" t="s">
        <v>109</v>
      </c>
      <c r="G53" s="3" t="s">
        <v>45</v>
      </c>
      <c r="H53" s="3" t="s">
        <v>45</v>
      </c>
    </row>
    <row r="54" spans="2:8">
      <c r="B54" s="3" t="str">
        <f>'Application Info'!B54</f>
        <v>Santander Perú</v>
      </c>
      <c r="C54" s="4" t="str">
        <f>'Application Info'!C54</f>
        <v>Masterbase</v>
      </c>
      <c r="F54" s="4" t="s">
        <v>109</v>
      </c>
      <c r="G54" s="3" t="s">
        <v>110</v>
      </c>
      <c r="H54" s="3" t="s">
        <v>45</v>
      </c>
    </row>
    <row r="55" spans="2:8">
      <c r="B55" s="3" t="str">
        <f>'Application Info'!B55</f>
        <v>Santander Perú</v>
      </c>
      <c r="C55" s="4" t="str">
        <f>'Application Info'!C55</f>
        <v>Data Analytics</v>
      </c>
      <c r="F55" s="4" t="s">
        <v>109</v>
      </c>
      <c r="G55" s="3" t="s">
        <v>96</v>
      </c>
    </row>
    <row r="56" spans="2:8">
      <c r="B56" s="3" t="str">
        <f>'Application Info'!B56</f>
        <v>Santander Perú</v>
      </c>
      <c r="C56" s="4" t="str">
        <f>'Application Info'!C56</f>
        <v>Gestión Portafolio PMO</v>
      </c>
      <c r="F56" s="4" t="s">
        <v>102</v>
      </c>
      <c r="G56" s="3" t="s">
        <v>96</v>
      </c>
    </row>
    <row r="57" spans="2:8">
      <c r="B57" s="3" t="str">
        <f>'Application Info'!B57</f>
        <v>Santander Perú</v>
      </c>
      <c r="C57" s="4" t="str">
        <f>'Application Info'!C57</f>
        <v>Diloo</v>
      </c>
      <c r="F57" s="4" t="s">
        <v>102</v>
      </c>
      <c r="G57" s="3" t="s">
        <v>110</v>
      </c>
      <c r="H57" s="3" t="s">
        <v>45</v>
      </c>
    </row>
    <row r="58" spans="2:8">
      <c r="B58" s="3" t="str">
        <f>'Application Info'!B58</f>
        <v>Santander Perú</v>
      </c>
      <c r="C58" s="4" t="str">
        <f>'Application Info'!C58</f>
        <v>Lynx</v>
      </c>
      <c r="F58" s="4" t="s">
        <v>102</v>
      </c>
      <c r="G58" s="3" t="s">
        <v>96</v>
      </c>
      <c r="H58" s="3" t="s">
        <v>111</v>
      </c>
    </row>
    <row r="59" spans="2:8">
      <c r="B59" s="3" t="str">
        <f>'Application Info'!B59</f>
        <v>Santander Perú</v>
      </c>
      <c r="C59" s="4" t="str">
        <f>'Application Info'!C59</f>
        <v xml:space="preserve">Astara/SK Berge </v>
      </c>
      <c r="F59" s="4" t="s">
        <v>102</v>
      </c>
      <c r="G59" s="3" t="s">
        <v>110</v>
      </c>
      <c r="H59" s="3" t="s">
        <v>104</v>
      </c>
    </row>
    <row r="60" spans="2:8">
      <c r="B60" s="3" t="str">
        <f>'Application Info'!B60</f>
        <v>Santander Perú</v>
      </c>
      <c r="C60" s="4" t="str">
        <f>'Application Info'!C60</f>
        <v>Factoring Data Lake Leads</v>
      </c>
      <c r="F60" s="4" t="s">
        <v>95</v>
      </c>
      <c r="G60" s="3" t="s">
        <v>96</v>
      </c>
    </row>
    <row r="61" spans="2:8">
      <c r="B61" s="3" t="str">
        <f>'Application Info'!B61</f>
        <v>Santander Perú</v>
      </c>
      <c r="C61" s="4" t="str">
        <f>'Application Info'!C61</f>
        <v>Monitor Plus (ETL) - Transaction Monitorig</v>
      </c>
      <c r="F61" s="4" t="s">
        <v>95</v>
      </c>
      <c r="G61" s="3" t="s">
        <v>110</v>
      </c>
    </row>
    <row r="62" spans="2:8">
      <c r="B62" s="3" t="str">
        <f>'Application Info'!B62</f>
        <v>Santander Perú</v>
      </c>
      <c r="C62" s="4" t="str">
        <f>'Application Info'!C62</f>
        <v>Dashboards Analytics</v>
      </c>
      <c r="F62" s="4" t="s">
        <v>102</v>
      </c>
      <c r="G62" s="3" t="s">
        <v>110</v>
      </c>
    </row>
    <row r="63" spans="2:8">
      <c r="B63" s="3" t="str">
        <f>'Application Info'!B63</f>
        <v>Santander Perú</v>
      </c>
      <c r="C63" s="4" t="str">
        <f>'Application Info'!C63</f>
        <v>Loan Tape</v>
      </c>
      <c r="F63" s="4"/>
      <c r="G63" s="3" t="s">
        <v>110</v>
      </c>
    </row>
    <row r="64" spans="2:8">
      <c r="B64" s="3" t="str">
        <f>'Application Info'!B64</f>
        <v>Santander Perú</v>
      </c>
      <c r="C64" s="4" t="str">
        <f>'Application Info'!C64</f>
        <v>Hiperfirmas</v>
      </c>
      <c r="F64" s="4" t="s">
        <v>102</v>
      </c>
      <c r="G64" s="3" t="s">
        <v>110</v>
      </c>
    </row>
    <row r="65" spans="2:8">
      <c r="B65" s="3" t="str">
        <f>'Application Info'!B65</f>
        <v>Santander Perú</v>
      </c>
      <c r="C65" s="4" t="str">
        <f>'Application Info'!C65</f>
        <v>Web Onboarding</v>
      </c>
      <c r="F65" s="4" t="s">
        <v>95</v>
      </c>
      <c r="G65" s="3" t="s">
        <v>110</v>
      </c>
      <c r="H65" s="3" t="s">
        <v>97</v>
      </c>
    </row>
    <row r="66" spans="2:8">
      <c r="B66" s="3" t="str">
        <f>'Application Info'!B66</f>
        <v>Santander Perú</v>
      </c>
      <c r="C66" s="4" t="str">
        <f>'Application Info'!C66</f>
        <v>LBTR Novatronic</v>
      </c>
      <c r="F66" s="4" t="s">
        <v>102</v>
      </c>
      <c r="G66" s="3" t="s">
        <v>110</v>
      </c>
      <c r="H66" s="3" t="s">
        <v>104</v>
      </c>
    </row>
    <row r="67" spans="2:8">
      <c r="B67" s="3" t="str">
        <f>'Application Info'!B67</f>
        <v>Santander Perú</v>
      </c>
      <c r="C67" s="4" t="str">
        <f>'Application Info'!C67</f>
        <v>Web Pago Interno</v>
      </c>
      <c r="F67" s="4" t="s">
        <v>95</v>
      </c>
      <c r="G67" s="3" t="s">
        <v>110</v>
      </c>
      <c r="H67" s="3" t="s">
        <v>97</v>
      </c>
    </row>
    <row r="68" spans="2:8">
      <c r="B68" s="3" t="str">
        <f>'Application Info'!B68</f>
        <v>Santander Perú</v>
      </c>
      <c r="C68" s="4" t="str">
        <f>'Application Info'!C68</f>
        <v>Retenciones SUNAT</v>
      </c>
      <c r="F68" s="4" t="s">
        <v>95</v>
      </c>
      <c r="G68" s="3" t="s">
        <v>110</v>
      </c>
    </row>
    <row r="69" spans="2:8">
      <c r="B69" s="3" t="str">
        <f>'Application Info'!B69</f>
        <v>Santander Perú</v>
      </c>
      <c r="C69" s="4" t="str">
        <f>'Application Info'!C69</f>
        <v>Facturas Negociables</v>
      </c>
      <c r="F69" s="4" t="s">
        <v>95</v>
      </c>
      <c r="G69" s="3" t="s">
        <v>110</v>
      </c>
    </row>
    <row r="70" spans="2:8">
      <c r="B70" s="3" t="str">
        <f>'Application Info'!B70</f>
        <v>Santander Perú</v>
      </c>
      <c r="C70" s="4" t="str">
        <f>'Application Info'!C70</f>
        <v>GDS Modellica</v>
      </c>
      <c r="F70" s="4" t="s">
        <v>102</v>
      </c>
      <c r="G70" s="3" t="s">
        <v>110</v>
      </c>
    </row>
    <row r="71" spans="2:8">
      <c r="B71" s="3" t="str">
        <f>'Application Info'!B71</f>
        <v>Santander Perú</v>
      </c>
      <c r="C71" s="4" t="str">
        <f>'Application Info'!C71</f>
        <v xml:space="preserve">Qlik Sense </v>
      </c>
      <c r="F71" s="4" t="s">
        <v>102</v>
      </c>
      <c r="G71" s="3" t="s">
        <v>110</v>
      </c>
      <c r="H71" s="3" t="s">
        <v>45</v>
      </c>
    </row>
    <row r="72" spans="2:8">
      <c r="B72" s="3" t="str">
        <f>'Application Info'!B72</f>
        <v>Santander Perú</v>
      </c>
      <c r="C72" s="4" t="str">
        <f>'Application Info'!C72</f>
        <v>Qlikview</v>
      </c>
      <c r="F72" s="4" t="s">
        <v>102</v>
      </c>
      <c r="G72" s="3" t="s">
        <v>110</v>
      </c>
      <c r="H72" s="3" t="s">
        <v>45</v>
      </c>
    </row>
    <row r="73" spans="2:8">
      <c r="B73" s="3" t="str">
        <f>'Application Info'!B73</f>
        <v>Santander Perú</v>
      </c>
      <c r="C73" s="4" t="str">
        <f>'Application Info'!C73</f>
        <v>DATATEC</v>
      </c>
      <c r="F73" s="4" t="s">
        <v>102</v>
      </c>
      <c r="G73" s="3" t="s">
        <v>110</v>
      </c>
    </row>
    <row r="74" spans="2:8">
      <c r="B74" s="3" t="str">
        <f>'Application Info'!B74</f>
        <v>Santander Perú</v>
      </c>
      <c r="C74" s="4" t="str">
        <f>'Application Info'!C74</f>
        <v>Data Lakehouse Corporativo</v>
      </c>
      <c r="F74" s="4" t="s">
        <v>95</v>
      </c>
      <c r="G74" s="3" t="s">
        <v>96</v>
      </c>
    </row>
    <row r="75" spans="2:8">
      <c r="B75" s="3" t="str">
        <f>'Application Info'!B75</f>
        <v>Santander Perú</v>
      </c>
      <c r="C75" s="4" t="str">
        <f>'Application Info'!C75</f>
        <v>Lista Negativa</v>
      </c>
      <c r="F75" s="4" t="s">
        <v>102</v>
      </c>
      <c r="G75" s="3" t="s">
        <v>110</v>
      </c>
      <c r="H75" s="3" t="s">
        <v>111</v>
      </c>
    </row>
    <row r="76" spans="2:8">
      <c r="B76" s="3" t="str">
        <f>'Application Info'!B76</f>
        <v>Santander Perú</v>
      </c>
      <c r="C76" s="4" t="str">
        <f>'Application Info'!C76</f>
        <v>Reporte Helios</v>
      </c>
      <c r="F76" s="4" t="s">
        <v>95</v>
      </c>
      <c r="G76" s="3" t="s">
        <v>110</v>
      </c>
      <c r="H76" s="3" t="s">
        <v>104</v>
      </c>
    </row>
    <row r="77" spans="2:8">
      <c r="B77" s="3" t="str">
        <f>'Application Info'!B77</f>
        <v>Santander Perú</v>
      </c>
      <c r="C77" s="4" t="str">
        <f>'Application Info'!C77</f>
        <v>WorldSys</v>
      </c>
      <c r="F77" s="4" t="s">
        <v>102</v>
      </c>
      <c r="G77" s="3" t="s">
        <v>96</v>
      </c>
      <c r="H77" s="3" t="s">
        <v>45</v>
      </c>
    </row>
    <row r="78" spans="2:8">
      <c r="B78" s="3" t="str">
        <f>'Application Info'!B78</f>
        <v>Santander Perú</v>
      </c>
      <c r="C78" s="4" t="str">
        <f>'Application Info'!C78</f>
        <v>AMLUpdate - Name Screening</v>
      </c>
      <c r="F78" s="4" t="s">
        <v>795</v>
      </c>
      <c r="G78" s="3" t="s">
        <v>96</v>
      </c>
      <c r="H78" s="3" t="s">
        <v>104</v>
      </c>
    </row>
    <row r="79" spans="2:8">
      <c r="B79" s="3" t="str">
        <f>'Application Info'!B79</f>
        <v>Santander Perú</v>
      </c>
      <c r="C79" s="4" t="str">
        <f>'Application Info'!C79</f>
        <v>RatingPlus</v>
      </c>
      <c r="F79" s="4" t="s">
        <v>102</v>
      </c>
      <c r="G79" s="3" t="s">
        <v>110</v>
      </c>
      <c r="H79" s="3" t="s">
        <v>104</v>
      </c>
    </row>
    <row r="80" spans="2:8">
      <c r="B80" s="3" t="str">
        <f>'Application Info'!B80</f>
        <v>Santander Perú</v>
      </c>
      <c r="C80" s="4" t="str">
        <f>'Application Info'!C80</f>
        <v>Zapier</v>
      </c>
      <c r="F80" s="4"/>
      <c r="G80" s="3" t="s">
        <v>45</v>
      </c>
    </row>
    <row r="81" spans="2:8">
      <c r="B81" s="3" t="str">
        <f>'Application Info'!B81</f>
        <v>Santander Perú</v>
      </c>
      <c r="C81" s="4" t="str">
        <f>'Application Info'!C81</f>
        <v xml:space="preserve">SAP ByDesign </v>
      </c>
      <c r="F81" s="4" t="s">
        <v>102</v>
      </c>
      <c r="G81" s="3" t="s">
        <v>96</v>
      </c>
      <c r="H81" s="4" t="s">
        <v>104</v>
      </c>
    </row>
    <row r="82" spans="2:8">
      <c r="B82" s="3" t="str">
        <f>'Application Info'!B82</f>
        <v>Santander Perú</v>
      </c>
      <c r="C82" s="4" t="str">
        <f>'Application Info'!C82</f>
        <v>Web Institucional</v>
      </c>
      <c r="F82" s="4" t="s">
        <v>95</v>
      </c>
      <c r="G82" s="3" t="s">
        <v>96</v>
      </c>
      <c r="H82" s="3" t="s">
        <v>97</v>
      </c>
    </row>
    <row r="83" spans="2:8">
      <c r="B83" s="3" t="str">
        <f>'Application Info'!B83</f>
        <v>Santander Perú</v>
      </c>
      <c r="C83" s="4" t="str">
        <f>'Application Info'!C83</f>
        <v>Motor TOP</v>
      </c>
      <c r="F83" s="4" t="s">
        <v>102</v>
      </c>
      <c r="G83" s="3" t="s">
        <v>96</v>
      </c>
      <c r="H83" s="3" t="s">
        <v>104</v>
      </c>
    </row>
    <row r="84" spans="2:8">
      <c r="B84" s="3" t="str">
        <f>'Application Info'!B84</f>
        <v>Santander Perú</v>
      </c>
      <c r="C84" s="4" t="str">
        <f>'Application Info'!C84</f>
        <v>Reporte Crediticio de Deudores</v>
      </c>
      <c r="F84" s="4" t="s">
        <v>102</v>
      </c>
      <c r="G84" s="3" t="s">
        <v>96</v>
      </c>
      <c r="H84" s="3" t="s">
        <v>111</v>
      </c>
    </row>
    <row r="85" spans="2:8">
      <c r="B85" s="3" t="str">
        <f>'Application Info'!B85</f>
        <v>Santander Perú</v>
      </c>
      <c r="C85" s="4" t="str">
        <f>'Application Info'!C85</f>
        <v>Nazca AS400</v>
      </c>
      <c r="F85" s="4" t="s">
        <v>109</v>
      </c>
      <c r="G85" s="3" t="s">
        <v>96</v>
      </c>
      <c r="H85" s="3" t="s">
        <v>104</v>
      </c>
    </row>
    <row r="86" spans="2:8">
      <c r="B86" s="3" t="str">
        <f>'Application Info'!B86</f>
        <v>Santander Perú</v>
      </c>
      <c r="C86" s="4" t="str">
        <f>'Application Info'!C86</f>
        <v>Genesys Cloud</v>
      </c>
      <c r="F86" s="4" t="s">
        <v>795</v>
      </c>
      <c r="G86" s="3" t="s">
        <v>96</v>
      </c>
      <c r="H86" s="3" t="s">
        <v>104</v>
      </c>
    </row>
    <row r="87" spans="2:8">
      <c r="B87" s="3">
        <f>'Application Info'!B87</f>
        <v>0</v>
      </c>
      <c r="C87" s="4">
        <f>'Application Info'!C87</f>
        <v>0</v>
      </c>
      <c r="F87" s="4"/>
    </row>
    <row r="88" spans="2:8">
      <c r="B88" s="3">
        <f>'Application Info'!B88</f>
        <v>0</v>
      </c>
      <c r="C88" s="4">
        <f>'Application Info'!C88</f>
        <v>0</v>
      </c>
      <c r="F88" s="4"/>
    </row>
    <row r="89" spans="2:8">
      <c r="B89" s="3">
        <f>'Application Info'!B89</f>
        <v>0</v>
      </c>
      <c r="C89" s="4">
        <f>'Application Info'!C89</f>
        <v>0</v>
      </c>
      <c r="F89" s="4"/>
    </row>
    <row r="90" spans="2:8">
      <c r="B90" s="3">
        <f>'Application Info'!B90</f>
        <v>0</v>
      </c>
      <c r="C90" s="4">
        <f>'Application Info'!C90</f>
        <v>0</v>
      </c>
      <c r="F90" s="4"/>
    </row>
    <row r="91" spans="2:8">
      <c r="B91" s="3">
        <f>'Application Info'!B91</f>
        <v>0</v>
      </c>
      <c r="C91" s="4">
        <f>'Application Info'!C91</f>
        <v>0</v>
      </c>
      <c r="F91" s="4"/>
    </row>
    <row r="92" spans="2:8">
      <c r="B92" s="3">
        <f>'Application Info'!B92</f>
        <v>0</v>
      </c>
      <c r="C92" s="4">
        <f>'Application Info'!C92</f>
        <v>0</v>
      </c>
      <c r="F92" s="4"/>
    </row>
    <row r="93" spans="2:8">
      <c r="B93" s="3">
        <f>'Application Info'!B93</f>
        <v>0</v>
      </c>
      <c r="C93" s="4">
        <f>'Application Info'!C93</f>
        <v>0</v>
      </c>
      <c r="F93" s="4"/>
    </row>
    <row r="94" spans="2:8">
      <c r="B94" s="3">
        <f>'Application Info'!B94</f>
        <v>0</v>
      </c>
      <c r="C94" s="4">
        <f>'Application Info'!C94</f>
        <v>0</v>
      </c>
      <c r="F94" s="4"/>
    </row>
    <row r="95" spans="2:8">
      <c r="B95" s="3">
        <f>'Application Info'!B95</f>
        <v>0</v>
      </c>
      <c r="C95" s="4">
        <f>'Application Info'!C95</f>
        <v>0</v>
      </c>
      <c r="F95" s="4"/>
    </row>
    <row r="96" spans="2:8">
      <c r="B96" s="3">
        <f>'Application Info'!B96</f>
        <v>0</v>
      </c>
      <c r="C96" s="4">
        <f>'Application Info'!C96</f>
        <v>0</v>
      </c>
      <c r="F96" s="4"/>
    </row>
    <row r="97" spans="1:6">
      <c r="B97" s="3">
        <f>'Application Info'!B97</f>
        <v>0</v>
      </c>
      <c r="C97" s="4">
        <f>'Application Info'!C97</f>
        <v>0</v>
      </c>
      <c r="F97" s="4"/>
    </row>
    <row r="98" spans="1:6">
      <c r="B98" s="3">
        <f>'Application Info'!B98</f>
        <v>0</v>
      </c>
      <c r="C98" s="4">
        <f>'Application Info'!C98</f>
        <v>0</v>
      </c>
      <c r="F98" s="4"/>
    </row>
    <row r="99" spans="1:6">
      <c r="B99" s="3">
        <f>'Application Info'!B99</f>
        <v>0</v>
      </c>
      <c r="C99" s="4">
        <f>'Application Info'!C99</f>
        <v>0</v>
      </c>
      <c r="F99" s="4"/>
    </row>
    <row r="100" spans="1:6">
      <c r="B100" s="3">
        <f>'Application Info'!B100</f>
        <v>0</v>
      </c>
      <c r="C100" s="4">
        <f>'Application Info'!C100</f>
        <v>0</v>
      </c>
      <c r="F100" s="4"/>
    </row>
    <row r="105" spans="1:6">
      <c r="A105" s="9"/>
    </row>
    <row r="106" spans="1:6">
      <c r="A106" s="9"/>
    </row>
    <row r="107" spans="1:6">
      <c r="A107" s="9"/>
    </row>
    <row r="108" spans="1:6">
      <c r="A108" s="9"/>
    </row>
    <row r="24996" spans="201:202">
      <c r="GS24996" s="3" t="s">
        <v>66</v>
      </c>
      <c r="GT24996" s="3">
        <v>1</v>
      </c>
    </row>
    <row r="64995" spans="250:250">
      <c r="IP64995" s="3" t="s">
        <v>67</v>
      </c>
    </row>
    <row r="64996" spans="250:250">
      <c r="IP64996" s="3" t="s">
        <v>67</v>
      </c>
    </row>
  </sheetData>
  <autoFilter ref="A1:IP100" xr:uid="{0B38D3A8-8E48-4BF8-A5FE-5E909F5FE80A}"/>
  <dataValidations count="9">
    <dataValidation type="list" allowBlank="1" sqref="K2:K9996" xr:uid="{F0D45435-38DC-4046-B4A4-27222B647916}">
      <formula1>$GI$2:$GI$6</formula1>
    </dataValidation>
    <dataValidation type="list" allowBlank="1" sqref="J2:J9996" xr:uid="{3770AA81-38C2-4407-A4A8-433471BB9083}">
      <formula1>$GH$2:$GH$6</formula1>
    </dataValidation>
    <dataValidation type="list" allowBlank="1" sqref="I2:I9996" xr:uid="{D72817BF-3F31-453F-A2C1-E03FE66E4E1A}">
      <formula1>$GG$2:$GG$9</formula1>
    </dataValidation>
    <dataValidation type="list" allowBlank="1" sqref="H2:H9996" xr:uid="{9DBAEEE3-15EE-4407-AC8B-E42B619EB5DE}">
      <formula1>$GF$2:$GF$6</formula1>
    </dataValidation>
    <dataValidation type="list" allowBlank="1" sqref="G2:G9996" xr:uid="{6FF6184C-7569-46AF-9A43-CCF0ACEA04D1}">
      <formula1>$GE$2:$GE$6</formula1>
    </dataValidation>
    <dataValidation type="list" allowBlank="1" sqref="F101:F9996" xr:uid="{F2CC0EE2-955A-4000-83B7-38D2B041808D}">
      <formula1>Strategic_Indicator</formula1>
    </dataValidation>
    <dataValidation type="list" allowBlank="1" sqref="E2:E9996" xr:uid="{F87A0FA9-6BD4-4143-9E08-8335C1AE86E0}">
      <formula1>Line_Of_Business</formula1>
    </dataValidation>
    <dataValidation type="list" allowBlank="1" sqref="D2:D9996" xr:uid="{80A4DB74-B2FC-464E-ACF8-08A7090B7426}">
      <formula1>Strategic_bu_group</formula1>
    </dataValidation>
    <dataValidation type="list" allowBlank="1" sqref="F2:F100" xr:uid="{94EAD66C-AC2A-4000-BEAB-2540832F1A79}">
      <formula1>$GD$2:$GD$5</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75F55-631F-49CA-918E-4D3E255D5C7D}">
  <sheetPr filterMode="1"/>
  <dimension ref="A1:IR64999"/>
  <sheetViews>
    <sheetView topLeftCell="B1" workbookViewId="0">
      <pane xSplit="2" ySplit="1" topLeftCell="D2" activePane="bottomRight" state="frozen"/>
      <selection activeCell="B1" sqref="B1"/>
      <selection pane="topRight" activeCell="D1" sqref="D1"/>
      <selection pane="bottomLeft" activeCell="B2" sqref="B2"/>
      <selection pane="bottomRight" activeCell="O39" sqref="O39:O84"/>
    </sheetView>
  </sheetViews>
  <sheetFormatPr baseColWidth="10" defaultColWidth="8.4140625" defaultRowHeight="14.5"/>
  <cols>
    <col min="1" max="1" width="19.08203125" style="3" hidden="1" customWidth="1"/>
    <col min="2" max="2" width="24.9140625" style="3" bestFit="1" customWidth="1"/>
    <col min="3" max="3" width="36.33203125" style="3" bestFit="1" customWidth="1"/>
    <col min="4" max="4" width="12.08203125" style="3" bestFit="1" customWidth="1"/>
    <col min="5" max="5" width="13.33203125" style="3" bestFit="1" customWidth="1"/>
    <col min="6" max="6" width="25" style="3" customWidth="1"/>
    <col min="7" max="7" width="39.4140625" style="3" customWidth="1"/>
    <col min="8" max="8" width="25" style="3" customWidth="1"/>
    <col min="9" max="9" width="27.75" style="3" customWidth="1"/>
    <col min="10" max="10" width="25" style="3" customWidth="1"/>
    <col min="11" max="11" width="30.25" style="3" customWidth="1"/>
    <col min="12" max="12" width="43.5" style="3" customWidth="1"/>
    <col min="13" max="15" width="25" style="3" customWidth="1"/>
    <col min="16" max="185" width="8.4140625" style="3"/>
    <col min="186" max="186" width="16.33203125" style="3" customWidth="1"/>
    <col min="187" max="187" width="25.5" style="3" customWidth="1"/>
    <col min="188" max="188" width="33.75" style="3" bestFit="1" customWidth="1"/>
    <col min="189" max="189" width="50.83203125" style="3" bestFit="1" customWidth="1"/>
    <col min="190" max="190" width="26.1640625" style="3" bestFit="1" customWidth="1"/>
    <col min="191" max="191" width="29.75" style="3" bestFit="1" customWidth="1"/>
    <col min="192" max="192" width="27.1640625" style="3" bestFit="1" customWidth="1"/>
    <col min="193" max="193" width="27.83203125" style="3" bestFit="1" customWidth="1"/>
    <col min="194" max="16384" width="8.4140625" style="3"/>
  </cols>
  <sheetData>
    <row r="1" spans="1:193">
      <c r="A1" s="1" t="s">
        <v>0</v>
      </c>
      <c r="B1" s="1" t="s">
        <v>1</v>
      </c>
      <c r="C1" s="2" t="s">
        <v>2</v>
      </c>
      <c r="D1" s="3" t="s">
        <v>5</v>
      </c>
      <c r="E1" s="3" t="s">
        <v>6</v>
      </c>
      <c r="F1" s="3" t="s">
        <v>125</v>
      </c>
      <c r="G1" s="3" t="s">
        <v>126</v>
      </c>
      <c r="H1" s="3" t="s">
        <v>127</v>
      </c>
      <c r="I1" s="3" t="s">
        <v>128</v>
      </c>
      <c r="J1" s="3" t="s">
        <v>129</v>
      </c>
      <c r="K1" s="3" t="s">
        <v>130</v>
      </c>
      <c r="L1" s="3" t="s">
        <v>131</v>
      </c>
      <c r="M1" s="3" t="s">
        <v>132</v>
      </c>
      <c r="N1" s="3" t="s">
        <v>133</v>
      </c>
      <c r="O1" s="3" t="s">
        <v>134</v>
      </c>
      <c r="GA1" s="3" t="s">
        <v>16</v>
      </c>
      <c r="GB1" s="3" t="s">
        <v>135</v>
      </c>
      <c r="GC1" s="3">
        <v>5</v>
      </c>
      <c r="GD1" s="3" t="s">
        <v>136</v>
      </c>
      <c r="GE1" s="3" t="s">
        <v>137</v>
      </c>
      <c r="GF1" s="3" t="s">
        <v>138</v>
      </c>
      <c r="GG1" s="3" t="s">
        <v>139</v>
      </c>
      <c r="GH1" s="3" t="s">
        <v>140</v>
      </c>
      <c r="GI1" s="3" t="s">
        <v>141</v>
      </c>
      <c r="GJ1" s="3" t="s">
        <v>142</v>
      </c>
      <c r="GK1" s="3" t="s">
        <v>143</v>
      </c>
    </row>
    <row r="2" spans="1:193">
      <c r="A2" s="4"/>
      <c r="B2" s="3" t="str">
        <f>'Application Info'!B2</f>
        <v>Surgir</v>
      </c>
      <c r="C2" s="4" t="str">
        <f>'Application Info'!C2</f>
        <v>SAP by Design</v>
      </c>
      <c r="D2" s="3" t="str">
        <f>IF(C2='Application Info'!C2,'Application Info'!G2,"N/A")</f>
        <v>Azure</v>
      </c>
      <c r="E2" s="3" t="str">
        <f>IF(C2='Application Info'!C2,'Application Info'!H2,"N/A")</f>
        <v>5. SaaS</v>
      </c>
      <c r="F2" s="4" t="s">
        <v>145</v>
      </c>
      <c r="G2" s="4" t="s">
        <v>161</v>
      </c>
      <c r="H2" s="4" t="s">
        <v>196</v>
      </c>
      <c r="I2" s="4" t="s">
        <v>239</v>
      </c>
      <c r="J2" s="4" t="s">
        <v>156</v>
      </c>
      <c r="K2" s="4"/>
      <c r="L2" s="4"/>
      <c r="M2" s="4" t="s">
        <v>178</v>
      </c>
      <c r="N2" s="4" t="s">
        <v>110</v>
      </c>
      <c r="O2" s="4" t="s">
        <v>120</v>
      </c>
      <c r="GA2" s="3" t="s">
        <v>144</v>
      </c>
      <c r="GC2" s="3">
        <v>6</v>
      </c>
      <c r="GD2" s="3" t="s">
        <v>145</v>
      </c>
      <c r="GE2" s="3" t="s">
        <v>146</v>
      </c>
      <c r="GF2" s="3" t="s">
        <v>147</v>
      </c>
      <c r="GG2" s="3" t="s">
        <v>148</v>
      </c>
      <c r="GH2" s="3" t="s">
        <v>67</v>
      </c>
      <c r="GI2" s="3" t="s">
        <v>149</v>
      </c>
      <c r="GJ2" s="3" t="s">
        <v>103</v>
      </c>
      <c r="GK2" s="3" t="s">
        <v>150</v>
      </c>
    </row>
    <row r="3" spans="1:193">
      <c r="B3" s="3" t="str">
        <f>'Application Info'!B3</f>
        <v>Surgir</v>
      </c>
      <c r="C3" s="4" t="str">
        <f>'Application Info'!C3</f>
        <v>App Surgir</v>
      </c>
      <c r="D3" s="3" t="str">
        <f>IF(C3='Application Info'!C3,'Application Info'!G3,"N/A")</f>
        <v>Local Country</v>
      </c>
      <c r="E3" s="3" t="str">
        <f>IF(C3='Application Info'!C3,'Application Info'!H3,"N/A")</f>
        <v>3. Hybrid cloud</v>
      </c>
      <c r="F3" s="4" t="s">
        <v>51</v>
      </c>
      <c r="G3" s="4" t="s">
        <v>175</v>
      </c>
      <c r="H3" s="4" t="s">
        <v>196</v>
      </c>
      <c r="I3" s="4"/>
      <c r="J3" s="4" t="s">
        <v>156</v>
      </c>
      <c r="K3" s="4"/>
      <c r="L3" s="4"/>
      <c r="M3" s="4" t="s">
        <v>172</v>
      </c>
      <c r="N3" s="4" t="s">
        <v>110</v>
      </c>
      <c r="O3" s="4" t="s">
        <v>158</v>
      </c>
      <c r="GA3" s="3" t="s">
        <v>151</v>
      </c>
      <c r="GC3" s="3">
        <v>7</v>
      </c>
      <c r="GD3" s="3" t="s">
        <v>152</v>
      </c>
      <c r="GE3" s="3" t="s">
        <v>153</v>
      </c>
      <c r="GF3" s="3" t="s">
        <v>154</v>
      </c>
      <c r="GG3" s="3" t="s">
        <v>155</v>
      </c>
      <c r="GH3" s="3" t="s">
        <v>156</v>
      </c>
      <c r="GI3" s="3" t="s">
        <v>157</v>
      </c>
      <c r="GJ3" s="3" t="s">
        <v>110</v>
      </c>
      <c r="GK3" s="3" t="s">
        <v>158</v>
      </c>
    </row>
    <row r="4" spans="1:193">
      <c r="B4" s="3" t="str">
        <f>'Application Info'!B4</f>
        <v>Surgir</v>
      </c>
      <c r="C4" s="4" t="str">
        <f>'Application Info'!C4</f>
        <v>App Cliente</v>
      </c>
      <c r="D4" s="3" t="str">
        <f>IF(C4='Application Info'!C4,'Application Info'!G4,"N/A")</f>
        <v>Local Country</v>
      </c>
      <c r="E4" s="3" t="str">
        <f>IF(C4='Application Info'!C4,'Application Info'!H4,"N/A")</f>
        <v>3. Hybrid cloud</v>
      </c>
      <c r="F4" s="4" t="s">
        <v>51</v>
      </c>
      <c r="G4" s="4" t="s">
        <v>175</v>
      </c>
      <c r="H4" s="4" t="s">
        <v>196</v>
      </c>
      <c r="I4" s="4"/>
      <c r="J4" s="4" t="s">
        <v>156</v>
      </c>
      <c r="K4" s="4"/>
      <c r="L4" s="4"/>
      <c r="M4" s="4" t="s">
        <v>172</v>
      </c>
      <c r="N4" s="4" t="s">
        <v>110</v>
      </c>
      <c r="O4" s="4" t="s">
        <v>158</v>
      </c>
      <c r="GA4" s="3" t="s">
        <v>159</v>
      </c>
      <c r="GD4" s="3" t="s">
        <v>160</v>
      </c>
      <c r="GE4" s="3" t="s">
        <v>161</v>
      </c>
      <c r="GF4" s="3" t="s">
        <v>162</v>
      </c>
      <c r="GG4" s="3" t="s">
        <v>163</v>
      </c>
      <c r="GH4" s="3" t="s">
        <v>51</v>
      </c>
      <c r="GI4" s="3" t="s">
        <v>164</v>
      </c>
      <c r="GJ4" s="3" t="s">
        <v>165</v>
      </c>
      <c r="GK4" s="3" t="s">
        <v>166</v>
      </c>
    </row>
    <row r="5" spans="1:193">
      <c r="A5" s="10"/>
      <c r="B5" s="3" t="str">
        <f>'Application Info'!B5</f>
        <v>Surgir</v>
      </c>
      <c r="C5" s="4" t="str">
        <f>'Application Info'!C5</f>
        <v>AMLUpdate - Name Screening</v>
      </c>
      <c r="D5" s="3" t="str">
        <f>IF(C5='Application Info'!C5,'Application Info'!G5,"N/A")</f>
        <v>Mexico</v>
      </c>
      <c r="E5" s="3" t="str">
        <f>IF(C5='Application Info'!C5,'Application Info'!H5,"N/A")</f>
        <v>8. On-Premise</v>
      </c>
      <c r="F5" s="4" t="s">
        <v>160</v>
      </c>
      <c r="G5" s="4" t="s">
        <v>175</v>
      </c>
      <c r="H5" s="4"/>
      <c r="I5" s="4"/>
      <c r="J5" s="4" t="s">
        <v>156</v>
      </c>
      <c r="K5" s="4"/>
      <c r="L5" s="4"/>
      <c r="M5" s="4"/>
      <c r="N5" s="4"/>
      <c r="O5" s="4"/>
      <c r="GA5" s="3" t="s">
        <v>167</v>
      </c>
      <c r="GD5" s="3" t="s">
        <v>168</v>
      </c>
      <c r="GE5" s="3" t="s">
        <v>169</v>
      </c>
      <c r="GF5" s="3" t="s">
        <v>170</v>
      </c>
      <c r="GG5" s="3" t="s">
        <v>171</v>
      </c>
      <c r="GH5" s="3" t="s">
        <v>45</v>
      </c>
      <c r="GI5" s="3" t="s">
        <v>172</v>
      </c>
      <c r="GJ5" s="3" t="s">
        <v>120</v>
      </c>
      <c r="GK5" s="3" t="s">
        <v>120</v>
      </c>
    </row>
    <row r="6" spans="1:193">
      <c r="A6" s="10"/>
      <c r="B6" s="3" t="str">
        <f>'Application Info'!B6</f>
        <v>Surgir</v>
      </c>
      <c r="C6" s="4" t="str">
        <f>'Application Info'!C6</f>
        <v>Portal Web Público</v>
      </c>
      <c r="D6" s="3" t="str">
        <f>IF(C6='Application Info'!C6,'Application Info'!G6,"N/A")</f>
        <v>Local Country</v>
      </c>
      <c r="E6" s="3" t="str">
        <f>IF(C6='Application Info'!C6,'Application Info'!H6,"N/A")</f>
        <v>8. On-Premise</v>
      </c>
      <c r="F6" s="4" t="s">
        <v>160</v>
      </c>
      <c r="G6" s="4" t="s">
        <v>161</v>
      </c>
      <c r="H6" s="4"/>
      <c r="I6" s="4"/>
      <c r="J6" s="4" t="s">
        <v>156</v>
      </c>
      <c r="K6" s="4"/>
      <c r="L6" s="4"/>
      <c r="M6" s="4"/>
      <c r="N6" s="4"/>
      <c r="O6" s="4"/>
      <c r="GA6" s="3" t="s">
        <v>173</v>
      </c>
      <c r="GD6" s="3" t="s">
        <v>174</v>
      </c>
      <c r="GE6" s="3" t="s">
        <v>175</v>
      </c>
      <c r="GF6" s="3" t="s">
        <v>176</v>
      </c>
      <c r="GG6" s="3" t="s">
        <v>177</v>
      </c>
      <c r="GI6" s="3" t="s">
        <v>178</v>
      </c>
      <c r="GJ6" s="3" t="s">
        <v>51</v>
      </c>
      <c r="GK6" s="3" t="s">
        <v>51</v>
      </c>
    </row>
    <row r="7" spans="1:193">
      <c r="A7" s="10"/>
      <c r="B7" s="3" t="str">
        <f>'Application Info'!B7</f>
        <v>Surgir</v>
      </c>
      <c r="C7" s="4" t="str">
        <f>'Application Info'!C7</f>
        <v>Anura</v>
      </c>
      <c r="D7" s="3" t="str">
        <f>IF(C7='Application Info'!C7,'Application Info'!G7,"N/A")</f>
        <v>Local Country</v>
      </c>
      <c r="E7" s="3" t="str">
        <f>IF(C7='Application Info'!C7,'Application Info'!H7,"N/A")</f>
        <v>5. SaaS</v>
      </c>
      <c r="F7" s="4" t="s">
        <v>160</v>
      </c>
      <c r="G7" s="4" t="s">
        <v>161</v>
      </c>
      <c r="H7" s="4"/>
      <c r="I7" s="4"/>
      <c r="J7" s="4" t="s">
        <v>156</v>
      </c>
      <c r="K7" s="4"/>
      <c r="L7" s="4"/>
      <c r="M7" s="4"/>
      <c r="N7" s="4"/>
      <c r="O7" s="4"/>
      <c r="GA7" s="3" t="s">
        <v>179</v>
      </c>
      <c r="GD7" s="3" t="s">
        <v>180</v>
      </c>
      <c r="GE7" s="3" t="s">
        <v>181</v>
      </c>
      <c r="GF7" s="3" t="s">
        <v>182</v>
      </c>
      <c r="GG7" s="3" t="s">
        <v>183</v>
      </c>
      <c r="GI7" s="3" t="s">
        <v>120</v>
      </c>
      <c r="GK7" s="3" t="s">
        <v>45</v>
      </c>
    </row>
    <row r="8" spans="1:193">
      <c r="A8" s="10"/>
      <c r="B8" s="3" t="str">
        <f>'Application Info'!B8</f>
        <v>Surgir</v>
      </c>
      <c r="C8" s="4" t="str">
        <f>'Application Info'!C8</f>
        <v>ERP Contanet</v>
      </c>
      <c r="D8" s="3" t="str">
        <f>IF(C8='Application Info'!C8,'Application Info'!G8,"N/A")</f>
        <v>Azure</v>
      </c>
      <c r="E8" s="3" t="str">
        <f>IF(C8='Application Info'!C8,'Application Info'!H8,"N/A")</f>
        <v>5. SaaS</v>
      </c>
      <c r="F8" s="4" t="s">
        <v>160</v>
      </c>
      <c r="G8" s="4" t="s">
        <v>175</v>
      </c>
      <c r="H8" s="4"/>
      <c r="I8" s="4"/>
      <c r="J8" s="4" t="s">
        <v>156</v>
      </c>
      <c r="K8" s="4"/>
      <c r="L8" s="4"/>
      <c r="M8" s="4"/>
      <c r="N8" s="4"/>
      <c r="O8" s="4"/>
      <c r="GA8" s="3" t="s">
        <v>184</v>
      </c>
      <c r="GD8" s="3" t="s">
        <v>185</v>
      </c>
      <c r="GE8" s="3" t="s">
        <v>186</v>
      </c>
      <c r="GF8" s="3" t="s">
        <v>51</v>
      </c>
      <c r="GG8" s="3" t="s">
        <v>187</v>
      </c>
      <c r="GI8" s="3" t="s">
        <v>45</v>
      </c>
    </row>
    <row r="9" spans="1:193">
      <c r="A9" s="10"/>
      <c r="B9" s="3" t="str">
        <f>'Application Info'!B9</f>
        <v>Surgir</v>
      </c>
      <c r="C9" s="4" t="str">
        <f>'Application Info'!C9</f>
        <v>Datalake</v>
      </c>
      <c r="D9" s="3" t="str">
        <f>IF(C9='Application Info'!C9,'Application Info'!G9,"N/A")</f>
        <v>Local Country</v>
      </c>
      <c r="E9" s="3" t="str">
        <f>IF(C9='Application Info'!C9,'Application Info'!H9,"N/A")</f>
        <v>3. Hybrid cloud</v>
      </c>
      <c r="F9" s="4" t="s">
        <v>160</v>
      </c>
      <c r="G9" s="4" t="s">
        <v>161</v>
      </c>
      <c r="H9" s="4" t="s">
        <v>193</v>
      </c>
      <c r="I9" s="4"/>
      <c r="J9" s="4" t="s">
        <v>156</v>
      </c>
      <c r="K9" s="4"/>
      <c r="L9" s="4"/>
      <c r="M9" s="4" t="s">
        <v>172</v>
      </c>
      <c r="N9" s="4" t="s">
        <v>103</v>
      </c>
      <c r="O9" s="4" t="s">
        <v>166</v>
      </c>
      <c r="GA9" s="3" t="s">
        <v>188</v>
      </c>
      <c r="GD9" s="3" t="s">
        <v>189</v>
      </c>
      <c r="GE9" s="3" t="s">
        <v>51</v>
      </c>
      <c r="GF9" s="3" t="s">
        <v>190</v>
      </c>
      <c r="GG9" s="3" t="s">
        <v>191</v>
      </c>
      <c r="GI9" s="3" t="s">
        <v>51</v>
      </c>
    </row>
    <row r="10" spans="1:193">
      <c r="A10" s="10"/>
      <c r="B10" s="3" t="str">
        <f>'Application Info'!B10</f>
        <v>Surgir</v>
      </c>
      <c r="C10" s="4" t="str">
        <f>'Application Info'!C10</f>
        <v>Cobis</v>
      </c>
      <c r="D10" s="3" t="str">
        <f>IF(C10='Application Info'!C10,'Application Info'!G10,"N/A")</f>
        <v>AWS</v>
      </c>
      <c r="E10" s="3" t="str">
        <f>IF(C10='Application Info'!C10,'Application Info'!H10,"N/A")</f>
        <v>3. Hybrid cloud</v>
      </c>
      <c r="F10" s="4" t="s">
        <v>160</v>
      </c>
      <c r="G10" s="4" t="s">
        <v>161</v>
      </c>
      <c r="H10" s="4" t="s">
        <v>193</v>
      </c>
      <c r="I10" s="4"/>
      <c r="J10" s="4" t="s">
        <v>156</v>
      </c>
      <c r="K10" s="4"/>
      <c r="L10" s="4"/>
      <c r="M10" s="4" t="s">
        <v>178</v>
      </c>
      <c r="N10" s="4" t="s">
        <v>103</v>
      </c>
      <c r="O10" s="4" t="s">
        <v>166</v>
      </c>
      <c r="GA10" s="3" t="s">
        <v>192</v>
      </c>
      <c r="GD10" s="3" t="s">
        <v>51</v>
      </c>
      <c r="GE10" s="3" t="s">
        <v>45</v>
      </c>
      <c r="GF10" s="3" t="s">
        <v>193</v>
      </c>
      <c r="GG10" s="3" t="s">
        <v>194</v>
      </c>
    </row>
    <row r="11" spans="1:193">
      <c r="A11" s="10"/>
      <c r="B11" s="3" t="str">
        <f>'Application Info'!B11</f>
        <v>Santander Fondos Colectivos</v>
      </c>
      <c r="C11" s="4" t="str">
        <f>'Application Info'!C11</f>
        <v>Emblue</v>
      </c>
      <c r="D11" s="3" t="str">
        <f>IF(C11='Application Info'!C11,'Application Info'!G11,"N/A")</f>
        <v>Local Country</v>
      </c>
      <c r="E11" s="3" t="str">
        <f>IF(C11='Application Info'!C11,'Application Info'!H11,"N/A")</f>
        <v>7.Vendor sit</v>
      </c>
      <c r="F11" s="4" t="s">
        <v>180</v>
      </c>
      <c r="G11" s="4" t="s">
        <v>169</v>
      </c>
      <c r="H11" s="4" t="s">
        <v>196</v>
      </c>
      <c r="I11" s="4"/>
      <c r="J11" s="4" t="s">
        <v>156</v>
      </c>
      <c r="K11" s="4"/>
      <c r="L11" s="4"/>
      <c r="M11" s="4" t="s">
        <v>164</v>
      </c>
      <c r="N11" s="4" t="s">
        <v>110</v>
      </c>
      <c r="O11" s="4" t="s">
        <v>150</v>
      </c>
      <c r="GA11" s="3" t="s">
        <v>195</v>
      </c>
      <c r="GF11" s="3" t="s">
        <v>196</v>
      </c>
      <c r="GG11" s="3" t="s">
        <v>197</v>
      </c>
    </row>
    <row r="12" spans="1:193">
      <c r="A12" s="10"/>
      <c r="B12" s="3" t="str">
        <f>'Application Info'!B12</f>
        <v>Santander Fondos Colectivos</v>
      </c>
      <c r="C12" s="4" t="str">
        <f>'Application Info'!C12</f>
        <v>Facephi</v>
      </c>
      <c r="D12" s="3" t="str">
        <f>IF(C12='Application Info'!C12,'Application Info'!G12,"N/A")</f>
        <v>Local Country</v>
      </c>
      <c r="E12" s="3" t="str">
        <f>IF(C12='Application Info'!C12,'Application Info'!H12,"N/A")</f>
        <v>7.Vendor sit</v>
      </c>
      <c r="F12" s="4" t="s">
        <v>180</v>
      </c>
      <c r="G12" s="4" t="s">
        <v>169</v>
      </c>
      <c r="H12" s="4" t="s">
        <v>196</v>
      </c>
      <c r="I12" s="4"/>
      <c r="J12" s="4" t="s">
        <v>156</v>
      </c>
      <c r="K12" s="4"/>
      <c r="L12" s="4"/>
      <c r="M12" s="4" t="s">
        <v>172</v>
      </c>
      <c r="N12" s="4" t="s">
        <v>103</v>
      </c>
      <c r="O12" s="4" t="s">
        <v>150</v>
      </c>
      <c r="GF12" s="3" t="s">
        <v>198</v>
      </c>
      <c r="GG12" s="3" t="s">
        <v>199</v>
      </c>
    </row>
    <row r="13" spans="1:193">
      <c r="A13" s="10"/>
      <c r="B13" s="3" t="str">
        <f>'Application Info'!B13</f>
        <v>Santander Fondos Colectivos</v>
      </c>
      <c r="C13" s="4" t="str">
        <f>'Application Info'!C13</f>
        <v>Mapfre</v>
      </c>
      <c r="D13" s="3" t="str">
        <f>IF(C13='Application Info'!C13,'Application Info'!G13,"N/A")</f>
        <v>Local Country</v>
      </c>
      <c r="E13" s="3" t="str">
        <f>IF(C13='Application Info'!C13,'Application Info'!H13,"N/A")</f>
        <v>5. SaaS</v>
      </c>
      <c r="F13" s="4" t="s">
        <v>51</v>
      </c>
      <c r="G13" s="4" t="s">
        <v>153</v>
      </c>
      <c r="H13" s="4" t="s">
        <v>162</v>
      </c>
      <c r="I13" s="4"/>
      <c r="J13" s="4" t="s">
        <v>156</v>
      </c>
      <c r="K13" s="4"/>
      <c r="L13" s="4"/>
      <c r="M13" s="4" t="s">
        <v>157</v>
      </c>
      <c r="N13" s="4" t="s">
        <v>165</v>
      </c>
      <c r="O13" s="4"/>
      <c r="GF13" s="3" t="s">
        <v>200</v>
      </c>
      <c r="GG13" s="3" t="s">
        <v>201</v>
      </c>
    </row>
    <row r="14" spans="1:193">
      <c r="A14" s="10"/>
      <c r="B14" s="3" t="str">
        <f>'Application Info'!B14</f>
        <v>Santander Fondos Colectivos</v>
      </c>
      <c r="C14" s="4" t="str">
        <f>'Application Info'!C14</f>
        <v>Tracklink</v>
      </c>
      <c r="D14" s="3" t="str">
        <f>IF(C14='Application Info'!C14,'Application Info'!G14,"N/A")</f>
        <v>Local Country</v>
      </c>
      <c r="E14" s="3" t="str">
        <f>IF(C14='Application Info'!C14,'Application Info'!H14,"N/A")</f>
        <v>7.Vendor sit</v>
      </c>
      <c r="F14" s="4" t="s">
        <v>180</v>
      </c>
      <c r="G14" s="4" t="s">
        <v>169</v>
      </c>
      <c r="H14" s="4" t="s">
        <v>196</v>
      </c>
      <c r="I14" s="4"/>
      <c r="J14" s="4" t="s">
        <v>156</v>
      </c>
      <c r="K14" s="4"/>
      <c r="L14" s="4"/>
      <c r="M14" s="4" t="s">
        <v>164</v>
      </c>
      <c r="N14" s="4" t="s">
        <v>110</v>
      </c>
      <c r="O14" s="4" t="s">
        <v>150</v>
      </c>
      <c r="GF14" s="3" t="s">
        <v>202</v>
      </c>
      <c r="GG14" s="3" t="s">
        <v>203</v>
      </c>
    </row>
    <row r="15" spans="1:193">
      <c r="A15" s="10"/>
      <c r="B15" s="3" t="str">
        <f>'Application Info'!B15</f>
        <v>Santander Fondos Colectivos</v>
      </c>
      <c r="C15" s="4" t="str">
        <f>'Application Info'!C15</f>
        <v>Docuclass</v>
      </c>
      <c r="D15" s="3" t="str">
        <f>IF(C15='Application Info'!C15,'Application Info'!G15,"N/A")</f>
        <v>Local Country</v>
      </c>
      <c r="E15" s="3" t="str">
        <f>IF(C15='Application Info'!C15,'Application Info'!H15,"N/A")</f>
        <v>8. On-Premise</v>
      </c>
      <c r="F15" s="4" t="s">
        <v>160</v>
      </c>
      <c r="G15" s="4" t="s">
        <v>169</v>
      </c>
      <c r="H15" s="4" t="s">
        <v>196</v>
      </c>
      <c r="I15" s="4"/>
      <c r="J15" s="4" t="s">
        <v>156</v>
      </c>
      <c r="K15" s="4"/>
      <c r="L15" s="4"/>
      <c r="M15" s="4" t="s">
        <v>164</v>
      </c>
      <c r="N15" s="4" t="s">
        <v>110</v>
      </c>
      <c r="O15" s="4" t="s">
        <v>150</v>
      </c>
      <c r="GF15" s="3" t="s">
        <v>45</v>
      </c>
      <c r="GG15" s="3" t="s">
        <v>204</v>
      </c>
    </row>
    <row r="16" spans="1:193">
      <c r="A16" s="10"/>
      <c r="B16" s="3" t="str">
        <f>'Application Info'!B16</f>
        <v>Santander Fondos Colectivos</v>
      </c>
      <c r="C16" s="4" t="str">
        <f>'Application Info'!C16</f>
        <v>Diloo</v>
      </c>
      <c r="D16" s="3" t="str">
        <f>IF(C16='Application Info'!C16,'Application Info'!G16,"N/A")</f>
        <v>US</v>
      </c>
      <c r="E16" s="3" t="str">
        <f>IF(C16='Application Info'!C16,'Application Info'!H16,"N/A")</f>
        <v>7.Vendor sit</v>
      </c>
      <c r="F16" s="4" t="s">
        <v>145</v>
      </c>
      <c r="G16" s="4" t="s">
        <v>169</v>
      </c>
      <c r="H16" s="4" t="s">
        <v>196</v>
      </c>
      <c r="I16" s="4"/>
      <c r="J16" s="4" t="s">
        <v>156</v>
      </c>
      <c r="K16" s="4"/>
      <c r="L16" s="4"/>
      <c r="M16" s="4" t="s">
        <v>164</v>
      </c>
      <c r="N16" s="4" t="s">
        <v>110</v>
      </c>
      <c r="O16" s="4" t="s">
        <v>150</v>
      </c>
      <c r="GG16" s="3" t="s">
        <v>205</v>
      </c>
    </row>
    <row r="17" spans="1:189">
      <c r="A17" s="10"/>
      <c r="B17" s="3" t="str">
        <f>'Application Info'!B17</f>
        <v>Santander Fondos Colectivos</v>
      </c>
      <c r="C17" s="4" t="str">
        <f>'Application Info'!C17</f>
        <v>Izipay Pagos en línea</v>
      </c>
      <c r="D17" s="3" t="str">
        <f>IF(C17='Application Info'!C17,'Application Info'!G17,"N/A")</f>
        <v>Local Country</v>
      </c>
      <c r="E17" s="3" t="str">
        <f>IF(C17='Application Info'!C17,'Application Info'!H17,"N/A")</f>
        <v>3. Hybrid cloud</v>
      </c>
      <c r="F17" s="4" t="s">
        <v>160</v>
      </c>
      <c r="G17" s="4" t="s">
        <v>169</v>
      </c>
      <c r="H17" s="4" t="s">
        <v>162</v>
      </c>
      <c r="I17" s="4" t="s">
        <v>210</v>
      </c>
      <c r="J17" s="4" t="s">
        <v>156</v>
      </c>
      <c r="K17" s="4"/>
      <c r="L17" s="4"/>
      <c r="M17" s="4" t="s">
        <v>178</v>
      </c>
      <c r="N17" s="4" t="s">
        <v>103</v>
      </c>
      <c r="O17" s="4" t="s">
        <v>120</v>
      </c>
      <c r="GG17" s="3" t="s">
        <v>206</v>
      </c>
    </row>
    <row r="18" spans="1:189">
      <c r="A18" s="10"/>
      <c r="B18" s="3" t="str">
        <f>'Application Info'!B18</f>
        <v>Santander Fondos Colectivos</v>
      </c>
      <c r="C18" s="4" t="str">
        <f>'Application Info'!C18</f>
        <v>IBK Recaudación</v>
      </c>
      <c r="D18" s="3" t="str">
        <f>IF(C18='Application Info'!C18,'Application Info'!G18,"N/A")</f>
        <v>Local Country</v>
      </c>
      <c r="E18" s="3" t="str">
        <f>IF(C18='Application Info'!C18,'Application Info'!H18,"N/A")</f>
        <v>8. On-Premise</v>
      </c>
      <c r="F18" s="4" t="s">
        <v>180</v>
      </c>
      <c r="G18" s="4" t="s">
        <v>51</v>
      </c>
      <c r="H18" s="4" t="s">
        <v>162</v>
      </c>
      <c r="I18" s="4" t="s">
        <v>210</v>
      </c>
      <c r="J18" s="4" t="s">
        <v>156</v>
      </c>
      <c r="K18" s="4"/>
      <c r="L18" s="4"/>
      <c r="M18" s="4" t="s">
        <v>178</v>
      </c>
      <c r="N18" s="4" t="s">
        <v>103</v>
      </c>
      <c r="O18" s="4" t="s">
        <v>120</v>
      </c>
      <c r="GG18" s="3" t="s">
        <v>207</v>
      </c>
    </row>
    <row r="19" spans="1:189">
      <c r="A19" s="10"/>
      <c r="B19" s="3" t="str">
        <f>'Application Info'!B19</f>
        <v>Santander Fondos Colectivos</v>
      </c>
      <c r="C19" s="4" t="str">
        <f>'Application Info'!C19</f>
        <v>SAP by Design</v>
      </c>
      <c r="D19" s="3" t="str">
        <f>IF(C19='Application Info'!C19,'Application Info'!G19,"N/A")</f>
        <v>Mexico</v>
      </c>
      <c r="E19" s="3" t="str">
        <f>IF(C19='Application Info'!C19,'Application Info'!H19,"N/A")</f>
        <v>5. SaaS</v>
      </c>
      <c r="F19" s="4" t="s">
        <v>180</v>
      </c>
      <c r="G19" s="4" t="s">
        <v>45</v>
      </c>
      <c r="H19" s="4" t="s">
        <v>200</v>
      </c>
      <c r="I19" s="4"/>
      <c r="J19" s="4" t="s">
        <v>156</v>
      </c>
      <c r="K19" s="4"/>
      <c r="L19" s="4"/>
      <c r="M19" s="4" t="s">
        <v>178</v>
      </c>
      <c r="N19" s="4" t="s">
        <v>103</v>
      </c>
      <c r="O19" s="4" t="s">
        <v>51</v>
      </c>
      <c r="GG19" s="3" t="s">
        <v>208</v>
      </c>
    </row>
    <row r="20" spans="1:189">
      <c r="A20" s="10"/>
      <c r="B20" s="3" t="str">
        <f>'Application Info'!B20</f>
        <v>Santander Fondos Colectivos</v>
      </c>
      <c r="C20" s="4" t="str">
        <f>'Application Info'!C20</f>
        <v>Portal Web Público</v>
      </c>
      <c r="D20" s="3" t="str">
        <f>IF(C20='Application Info'!C20,'Application Info'!G20,"N/A")</f>
        <v>Mexico</v>
      </c>
      <c r="E20" s="3" t="str">
        <f>IF(C20='Application Info'!C20,'Application Info'!H20,"N/A")</f>
        <v>8. On-Premise</v>
      </c>
      <c r="F20" s="4" t="s">
        <v>180</v>
      </c>
      <c r="G20" s="4" t="s">
        <v>161</v>
      </c>
      <c r="H20" s="4" t="s">
        <v>196</v>
      </c>
      <c r="I20" s="4"/>
      <c r="J20" s="4" t="s">
        <v>156</v>
      </c>
      <c r="K20" s="4"/>
      <c r="L20" s="4"/>
      <c r="M20" s="4" t="s">
        <v>178</v>
      </c>
      <c r="N20" s="4" t="s">
        <v>103</v>
      </c>
      <c r="O20" s="4" t="s">
        <v>150</v>
      </c>
      <c r="GG20" s="3" t="s">
        <v>209</v>
      </c>
    </row>
    <row r="21" spans="1:189">
      <c r="A21" s="10"/>
      <c r="B21" s="3" t="str">
        <f>'Application Info'!B21</f>
        <v>Santander Fondos Colectivos</v>
      </c>
      <c r="C21" s="4" t="str">
        <f>'Application Info'!C21</f>
        <v>AMLUpdate - Name Screening</v>
      </c>
      <c r="D21" s="3" t="str">
        <f>IF(C21='Application Info'!C21,'Application Info'!G21,"N/A")</f>
        <v>Local Country</v>
      </c>
      <c r="E21" s="3" t="str">
        <f>IF(C21='Application Info'!C21,'Application Info'!H21,"N/A")</f>
        <v>5. SaaS</v>
      </c>
      <c r="F21" s="4" t="s">
        <v>180</v>
      </c>
      <c r="G21" s="4" t="s">
        <v>153</v>
      </c>
      <c r="H21" s="4" t="s">
        <v>200</v>
      </c>
      <c r="I21" s="4"/>
      <c r="J21" s="4" t="s">
        <v>156</v>
      </c>
      <c r="K21" s="4"/>
      <c r="L21" s="4"/>
      <c r="M21" s="4" t="s">
        <v>178</v>
      </c>
      <c r="N21" s="4" t="s">
        <v>103</v>
      </c>
      <c r="O21" s="4" t="s">
        <v>45</v>
      </c>
      <c r="GG21" s="3" t="s">
        <v>210</v>
      </c>
    </row>
    <row r="22" spans="1:189">
      <c r="A22" s="10"/>
      <c r="B22" s="3" t="str">
        <f>'Application Info'!B22</f>
        <v>Santander Fondos Colectivos</v>
      </c>
      <c r="C22" s="4" t="str">
        <f>'Application Info'!C22</f>
        <v>Santo</v>
      </c>
      <c r="D22" s="3" t="str">
        <f>IF(C22='Application Info'!C22,'Application Info'!G22,"N/A")</f>
        <v>Local Country</v>
      </c>
      <c r="E22" s="3" t="str">
        <f>IF(C22='Application Info'!C22,'Application Info'!H22,"N/A")</f>
        <v>3. Hybrid cloud</v>
      </c>
      <c r="F22" s="4" t="s">
        <v>174</v>
      </c>
      <c r="G22" s="4" t="s">
        <v>161</v>
      </c>
      <c r="H22" s="4" t="s">
        <v>196</v>
      </c>
      <c r="I22" s="4"/>
      <c r="J22" s="4" t="s">
        <v>156</v>
      </c>
      <c r="K22" s="4"/>
      <c r="L22" s="4"/>
      <c r="M22" s="4" t="s">
        <v>178</v>
      </c>
      <c r="N22" s="4" t="s">
        <v>103</v>
      </c>
      <c r="O22" s="4" t="s">
        <v>166</v>
      </c>
      <c r="GG22" s="3" t="s">
        <v>211</v>
      </c>
    </row>
    <row r="23" spans="1:189">
      <c r="A23" s="10"/>
      <c r="B23" s="3" t="str">
        <f>'Application Info'!B23</f>
        <v>SCIB Perú</v>
      </c>
      <c r="C23" s="4" t="str">
        <f>'Application Info'!C23</f>
        <v>Nuevo Office Banking</v>
      </c>
      <c r="D23" s="3" t="str">
        <f>IF(C23='Application Info'!C23,'Application Info'!G23,"N/A")</f>
        <v>US</v>
      </c>
      <c r="E23" s="3" t="str">
        <f>IF(C23='Application Info'!C23,'Application Info'!H23,"N/A")</f>
        <v>5. SaaS</v>
      </c>
      <c r="F23" s="4" t="s">
        <v>174</v>
      </c>
      <c r="G23" s="4" t="s">
        <v>161</v>
      </c>
      <c r="H23" s="4" t="s">
        <v>196</v>
      </c>
      <c r="I23" s="4"/>
      <c r="J23" s="4" t="s">
        <v>156</v>
      </c>
      <c r="K23" s="4"/>
      <c r="L23" s="4"/>
      <c r="M23" s="4" t="s">
        <v>178</v>
      </c>
      <c r="N23" s="4" t="s">
        <v>103</v>
      </c>
      <c r="O23" s="4" t="s">
        <v>150</v>
      </c>
      <c r="GG23" s="3" t="s">
        <v>212</v>
      </c>
    </row>
    <row r="24" spans="1:189">
      <c r="A24" s="10"/>
      <c r="B24" s="3" t="str">
        <f>'Application Info'!B24</f>
        <v>SCIB Perú</v>
      </c>
      <c r="C24" s="4" t="str">
        <f>'Application Info'!C24</f>
        <v>CEEFFC</v>
      </c>
      <c r="D24" s="3" t="str">
        <f>IF(C24='Application Info'!C24,'Application Info'!G24,"N/A")</f>
        <v>Mexico</v>
      </c>
      <c r="E24" s="3" t="str">
        <f>IF(C24='Application Info'!C24,'Application Info'!H24,"N/A")</f>
        <v>8. On-Premise</v>
      </c>
      <c r="F24" s="4" t="s">
        <v>160</v>
      </c>
      <c r="G24" s="4" t="s">
        <v>153</v>
      </c>
      <c r="H24" s="4" t="s">
        <v>200</v>
      </c>
      <c r="I24" s="4"/>
      <c r="J24" s="4" t="s">
        <v>156</v>
      </c>
      <c r="K24" s="4"/>
      <c r="L24" s="4"/>
      <c r="M24" s="4" t="s">
        <v>178</v>
      </c>
      <c r="N24" s="4" t="s">
        <v>103</v>
      </c>
      <c r="O24" s="4" t="s">
        <v>45</v>
      </c>
      <c r="GG24" s="3" t="s">
        <v>213</v>
      </c>
    </row>
    <row r="25" spans="1:189">
      <c r="A25" s="10"/>
      <c r="B25" s="3" t="str">
        <f>'Application Info'!B25</f>
        <v>SCIB Perú</v>
      </c>
      <c r="C25" s="4" t="str">
        <f>'Application Info'!C25</f>
        <v>Lbtr</v>
      </c>
      <c r="D25" s="3" t="str">
        <f>IF(C25='Application Info'!C25,'Application Info'!G25,"N/A")</f>
        <v>Local Country</v>
      </c>
      <c r="E25" s="3" t="str">
        <f>IF(C25='Application Info'!C25,'Application Info'!H25,"N/A")</f>
        <v>8. On-Premise</v>
      </c>
      <c r="F25" s="4" t="s">
        <v>180</v>
      </c>
      <c r="G25" s="4" t="s">
        <v>51</v>
      </c>
      <c r="H25" s="4" t="s">
        <v>162</v>
      </c>
      <c r="I25" s="4" t="s">
        <v>210</v>
      </c>
      <c r="J25" s="4" t="s">
        <v>156</v>
      </c>
      <c r="K25" s="4"/>
      <c r="L25" s="4"/>
      <c r="M25" s="4" t="s">
        <v>178</v>
      </c>
      <c r="N25" s="4" t="s">
        <v>103</v>
      </c>
      <c r="O25" s="4" t="s">
        <v>120</v>
      </c>
      <c r="GG25" s="3" t="s">
        <v>214</v>
      </c>
    </row>
    <row r="26" spans="1:189">
      <c r="A26" s="10"/>
      <c r="B26" s="3" t="str">
        <f>'Application Info'!B26</f>
        <v>SCIB Perú</v>
      </c>
      <c r="C26" s="4" t="str">
        <f>'Application Info'!C26</f>
        <v>Cash Nexus</v>
      </c>
      <c r="D26" s="3" t="str">
        <f>IF(C26='Application Info'!C26,'Application Info'!G26,"N/A")</f>
        <v>Local Country</v>
      </c>
      <c r="E26" s="3" t="str">
        <f>IF(C26='Application Info'!C26,'Application Info'!H26,"N/A")</f>
        <v>3. Hybrid cloud</v>
      </c>
      <c r="F26" s="4" t="s">
        <v>145</v>
      </c>
      <c r="G26" s="4" t="s">
        <v>153</v>
      </c>
      <c r="H26" s="4" t="s">
        <v>200</v>
      </c>
      <c r="I26" s="4"/>
      <c r="J26" s="4" t="s">
        <v>156</v>
      </c>
      <c r="K26" s="4"/>
      <c r="L26" s="4"/>
      <c r="M26" s="4" t="s">
        <v>178</v>
      </c>
      <c r="N26" s="4" t="s">
        <v>103</v>
      </c>
      <c r="O26" s="4" t="s">
        <v>45</v>
      </c>
      <c r="GG26" s="3" t="s">
        <v>215</v>
      </c>
    </row>
    <row r="27" spans="1:189">
      <c r="A27" s="10"/>
      <c r="B27" s="3" t="str">
        <f>'Application Info'!B27</f>
        <v>SCIB Perú</v>
      </c>
      <c r="C27" s="4" t="str">
        <f>'Application Info'!C27</f>
        <v>Host to Host</v>
      </c>
      <c r="D27" s="3" t="str">
        <f>IF(C27='Application Info'!C27,'Application Info'!G27,"N/A")</f>
        <v>Local Country</v>
      </c>
      <c r="E27" s="3" t="str">
        <f>IF(C27='Application Info'!C27,'Application Info'!H27,"N/A")</f>
        <v>8. On-Premise</v>
      </c>
      <c r="F27" s="4" t="s">
        <v>180</v>
      </c>
      <c r="G27" s="4" t="s">
        <v>51</v>
      </c>
      <c r="H27" s="4" t="s">
        <v>162</v>
      </c>
      <c r="I27" s="4" t="s">
        <v>210</v>
      </c>
      <c r="J27" s="4" t="s">
        <v>156</v>
      </c>
      <c r="K27" s="4"/>
      <c r="L27" s="4"/>
      <c r="M27" s="4" t="s">
        <v>178</v>
      </c>
      <c r="N27" s="4" t="s">
        <v>103</v>
      </c>
      <c r="O27" s="4" t="s">
        <v>120</v>
      </c>
      <c r="GG27" s="3" t="s">
        <v>216</v>
      </c>
    </row>
    <row r="28" spans="1:189">
      <c r="A28" s="10"/>
      <c r="B28" s="3" t="str">
        <f>'Application Info'!B28</f>
        <v>SCIB Perú</v>
      </c>
      <c r="C28" s="4" t="str">
        <f>'Application Info'!C28</f>
        <v>Sistema Office Banking</v>
      </c>
      <c r="D28" s="3" t="str">
        <f>IF(C28='Application Info'!C28,'Application Info'!G28,"N/A")</f>
        <v>Azure</v>
      </c>
      <c r="E28" s="3" t="str">
        <f>IF(C28='Application Info'!C28,'Application Info'!H28,"N/A")</f>
        <v>3. Hybrid cloud</v>
      </c>
      <c r="F28" s="4" t="s">
        <v>180</v>
      </c>
      <c r="G28" s="4" t="s">
        <v>161</v>
      </c>
      <c r="H28" s="4" t="s">
        <v>196</v>
      </c>
      <c r="I28" s="4"/>
      <c r="J28" s="4" t="s">
        <v>156</v>
      </c>
      <c r="K28" s="4"/>
      <c r="L28" s="4"/>
      <c r="M28" s="4" t="s">
        <v>178</v>
      </c>
      <c r="N28" s="4" t="s">
        <v>103</v>
      </c>
      <c r="O28" s="4" t="s">
        <v>150</v>
      </c>
      <c r="GG28" s="3" t="s">
        <v>217</v>
      </c>
    </row>
    <row r="29" spans="1:189">
      <c r="A29" s="10"/>
      <c r="B29" s="3" t="str">
        <f>'Application Info'!B29</f>
        <v>Santander Consumer Perú</v>
      </c>
      <c r="C29" s="4" t="str">
        <f>'Application Info'!C29</f>
        <v>Diloo</v>
      </c>
      <c r="D29" s="3" t="str">
        <f>IF(C29='Application Info'!C29,'Application Info'!G29,"N/A")</f>
        <v>US</v>
      </c>
      <c r="E29" s="3" t="str">
        <f>IF(C29='Application Info'!C29,'Application Info'!H29,"N/A")</f>
        <v>7.Vendor sit</v>
      </c>
      <c r="F29" s="4" t="s">
        <v>185</v>
      </c>
      <c r="G29" s="4" t="s">
        <v>169</v>
      </c>
      <c r="H29" s="4" t="s">
        <v>196</v>
      </c>
      <c r="I29" s="4"/>
      <c r="J29" s="4" t="s">
        <v>156</v>
      </c>
      <c r="K29" s="4"/>
      <c r="L29" s="4"/>
      <c r="M29" s="4" t="s">
        <v>164</v>
      </c>
      <c r="N29" s="4" t="s">
        <v>110</v>
      </c>
      <c r="O29" s="4" t="s">
        <v>150</v>
      </c>
      <c r="GG29" s="3" t="s">
        <v>218</v>
      </c>
    </row>
    <row r="30" spans="1:189">
      <c r="A30" s="10"/>
      <c r="B30" s="3" t="str">
        <f>'Application Info'!B30</f>
        <v>Santander Consumer Perú</v>
      </c>
      <c r="C30" s="4" t="str">
        <f>'Application Info'!C30</f>
        <v>Plataforma de Facturacion Electronica</v>
      </c>
      <c r="D30" s="3" t="str">
        <f>IF(C30='Application Info'!C30,'Application Info'!G30,"N/A")</f>
        <v>AWS</v>
      </c>
      <c r="E30" s="3" t="str">
        <f>IF(C30='Application Info'!C30,'Application Info'!H30,"N/A")</f>
        <v>8. On-Premise</v>
      </c>
      <c r="F30" s="4" t="s">
        <v>174</v>
      </c>
      <c r="G30" s="4" t="s">
        <v>161</v>
      </c>
      <c r="H30" s="4" t="s">
        <v>162</v>
      </c>
      <c r="I30" s="4"/>
      <c r="J30" s="4" t="s">
        <v>156</v>
      </c>
      <c r="K30" s="4"/>
      <c r="L30" s="4"/>
      <c r="M30" s="4" t="s">
        <v>172</v>
      </c>
      <c r="N30" s="4" t="s">
        <v>110</v>
      </c>
      <c r="O30" s="4"/>
      <c r="GG30" s="3" t="s">
        <v>219</v>
      </c>
    </row>
    <row r="31" spans="1:189">
      <c r="A31" s="10"/>
      <c r="B31" s="3" t="str">
        <f>'Application Info'!B31</f>
        <v>Santander Consumer Perú</v>
      </c>
      <c r="C31" s="4" t="str">
        <f>'Application Info'!C31</f>
        <v>Contáctanos</v>
      </c>
      <c r="D31" s="3" t="str">
        <f>IF(C31='Application Info'!C31,'Application Info'!G31,"N/A")</f>
        <v>Local Country</v>
      </c>
      <c r="E31" s="3" t="str">
        <f>IF(C31='Application Info'!C31,'Application Info'!H31,"N/A")</f>
        <v>6. Sharepoint</v>
      </c>
      <c r="F31" s="4" t="s">
        <v>160</v>
      </c>
      <c r="G31" s="4" t="s">
        <v>161</v>
      </c>
      <c r="H31" s="4" t="s">
        <v>196</v>
      </c>
      <c r="I31" s="4"/>
      <c r="J31" s="4" t="s">
        <v>156</v>
      </c>
      <c r="K31" s="4"/>
      <c r="L31" s="4"/>
      <c r="M31" s="4" t="s">
        <v>157</v>
      </c>
      <c r="N31" s="4" t="s">
        <v>165</v>
      </c>
      <c r="O31" s="4" t="s">
        <v>45</v>
      </c>
      <c r="GG31" s="3" t="s">
        <v>220</v>
      </c>
    </row>
    <row r="32" spans="1:189">
      <c r="A32" s="10"/>
      <c r="B32" s="3" t="str">
        <f>'Application Info'!B32</f>
        <v>Santander Consumer Perú</v>
      </c>
      <c r="C32" s="4" t="str">
        <f>'Application Info'!C32</f>
        <v>Visor Cobranzas</v>
      </c>
      <c r="D32" s="3" t="str">
        <f>IF(C32='Application Info'!C32,'Application Info'!G32,"N/A")</f>
        <v>Local Country</v>
      </c>
      <c r="E32" s="3" t="str">
        <f>IF(C32='Application Info'!C32,'Application Info'!H32,"N/A")</f>
        <v>6. Sharepoint</v>
      </c>
      <c r="F32" s="4"/>
      <c r="G32" s="4" t="s">
        <v>161</v>
      </c>
      <c r="H32" s="4" t="s">
        <v>162</v>
      </c>
      <c r="I32" s="4"/>
      <c r="J32" s="4" t="s">
        <v>156</v>
      </c>
      <c r="K32" s="4"/>
      <c r="L32" s="4"/>
      <c r="M32" s="4" t="s">
        <v>172</v>
      </c>
      <c r="N32" s="4" t="s">
        <v>110</v>
      </c>
      <c r="O32" s="4"/>
      <c r="GG32" s="3" t="s">
        <v>221</v>
      </c>
    </row>
    <row r="33" spans="1:189">
      <c r="A33" s="10"/>
      <c r="B33" s="3" t="str">
        <f>'Application Info'!B33</f>
        <v>Santander Consumer Perú</v>
      </c>
      <c r="C33" s="4" t="str">
        <f>'Application Info'!C33</f>
        <v>Api Market</v>
      </c>
      <c r="D33" s="3" t="str">
        <f>IF(C33='Application Info'!C33,'Application Info'!G33,"N/A")</f>
        <v>Local Country</v>
      </c>
      <c r="E33" s="3" t="str">
        <f>IF(C33='Application Info'!C33,'Application Info'!H33,"N/A")</f>
        <v>3. Hybrid cloud</v>
      </c>
      <c r="F33" s="4" t="s">
        <v>160</v>
      </c>
      <c r="G33" s="4" t="s">
        <v>45</v>
      </c>
      <c r="H33" s="4" t="s">
        <v>196</v>
      </c>
      <c r="I33" s="4"/>
      <c r="J33" s="4" t="s">
        <v>156</v>
      </c>
      <c r="K33" s="4"/>
      <c r="L33" s="4"/>
      <c r="M33" s="4" t="s">
        <v>172</v>
      </c>
      <c r="N33" s="4" t="s">
        <v>110</v>
      </c>
      <c r="O33" s="4" t="s">
        <v>150</v>
      </c>
      <c r="GG33" s="3" t="s">
        <v>222</v>
      </c>
    </row>
    <row r="34" spans="1:189">
      <c r="A34" s="10"/>
      <c r="B34" s="3" t="str">
        <f>'Application Info'!B34</f>
        <v>Santander Consumer Perú</v>
      </c>
      <c r="C34" s="4" t="str">
        <f>'Application Info'!C34</f>
        <v>AMLUpdate - Name Screening</v>
      </c>
      <c r="D34" s="3" t="str">
        <f>IF(C34='Application Info'!C34,'Application Info'!G34,"N/A")</f>
        <v>Azure</v>
      </c>
      <c r="E34" s="3" t="str">
        <f>IF(C34='Application Info'!C34,'Application Info'!H34,"N/A")</f>
        <v>5. SaaS</v>
      </c>
      <c r="F34" s="4" t="s">
        <v>168</v>
      </c>
      <c r="G34" s="4" t="s">
        <v>153</v>
      </c>
      <c r="H34" s="4" t="s">
        <v>200</v>
      </c>
      <c r="I34" s="4"/>
      <c r="J34" s="4" t="s">
        <v>156</v>
      </c>
      <c r="K34" s="4"/>
      <c r="L34" s="4"/>
      <c r="M34" s="4" t="s">
        <v>178</v>
      </c>
      <c r="N34" s="4" t="s">
        <v>103</v>
      </c>
      <c r="O34" s="4" t="s">
        <v>45</v>
      </c>
      <c r="GG34" s="3" t="s">
        <v>223</v>
      </c>
    </row>
    <row r="35" spans="1:189">
      <c r="A35" s="10"/>
      <c r="B35" s="3" t="str">
        <f>'Application Info'!B35</f>
        <v>Santander Consumer Perú</v>
      </c>
      <c r="C35" s="4" t="str">
        <f>'Application Info'!C35</f>
        <v>Facturación Electrónica - Auto</v>
      </c>
      <c r="D35" s="3" t="str">
        <f>IF(C35='Application Info'!C35,'Application Info'!G35,"N/A")</f>
        <v>Mexico</v>
      </c>
      <c r="E35" s="3" t="str">
        <f>IF(C35='Application Info'!C35,'Application Info'!H35,"N/A")</f>
        <v>8. On-Premise</v>
      </c>
      <c r="F35" s="4" t="s">
        <v>160</v>
      </c>
      <c r="G35" s="4" t="s">
        <v>153</v>
      </c>
      <c r="H35" s="4" t="s">
        <v>196</v>
      </c>
      <c r="I35" s="4"/>
      <c r="J35" s="4" t="s">
        <v>156</v>
      </c>
      <c r="K35" s="4"/>
      <c r="L35" s="4"/>
      <c r="M35" s="4" t="s">
        <v>172</v>
      </c>
      <c r="N35" s="4" t="s">
        <v>110</v>
      </c>
      <c r="O35" s="4" t="s">
        <v>45</v>
      </c>
      <c r="GG35" s="3" t="s">
        <v>224</v>
      </c>
    </row>
    <row r="36" spans="1:189">
      <c r="A36" s="10"/>
      <c r="B36" s="3" t="str">
        <f>'Application Info'!B36</f>
        <v>Santander Consumer Perú</v>
      </c>
      <c r="C36" s="4" t="str">
        <f>'Application Info'!C36</f>
        <v>Portal Web Público</v>
      </c>
      <c r="D36" s="3" t="str">
        <f>IF(C36='Application Info'!C36,'Application Info'!G36,"N/A")</f>
        <v>Mexico</v>
      </c>
      <c r="E36" s="3" t="str">
        <f>IF(C36='Application Info'!C36,'Application Info'!H36,"N/A")</f>
        <v>8. On-Premise</v>
      </c>
      <c r="F36" s="4" t="s">
        <v>51</v>
      </c>
      <c r="G36" s="4" t="s">
        <v>161</v>
      </c>
      <c r="H36" s="4" t="s">
        <v>196</v>
      </c>
      <c r="I36" s="4"/>
      <c r="J36" s="4" t="s">
        <v>156</v>
      </c>
      <c r="K36" s="4"/>
      <c r="L36" s="4"/>
      <c r="M36" s="4" t="s">
        <v>178</v>
      </c>
      <c r="N36" s="4" t="s">
        <v>103</v>
      </c>
      <c r="O36" s="4" t="s">
        <v>150</v>
      </c>
      <c r="GG36" s="3" t="s">
        <v>225</v>
      </c>
    </row>
    <row r="37" spans="1:189">
      <c r="A37" s="10"/>
      <c r="B37" s="3" t="str">
        <f>'Application Info'!B37</f>
        <v>Santander Consumer Perú</v>
      </c>
      <c r="C37" s="4" t="str">
        <f>'Application Info'!C37</f>
        <v>SAP ByDesign - ERP</v>
      </c>
      <c r="D37" s="3" t="str">
        <f>IF(C37='Application Info'!C37,'Application Info'!G37,"N/A")</f>
        <v>Local Country</v>
      </c>
      <c r="E37" s="3" t="str">
        <f>IF(C37='Application Info'!C37,'Application Info'!H37,"N/A")</f>
        <v>3. Hybrid cloud</v>
      </c>
      <c r="F37" s="4" t="s">
        <v>180</v>
      </c>
      <c r="G37" s="4" t="s">
        <v>45</v>
      </c>
      <c r="H37" s="4" t="s">
        <v>200</v>
      </c>
      <c r="I37" s="4"/>
      <c r="J37" s="4" t="s">
        <v>156</v>
      </c>
      <c r="K37" s="4"/>
      <c r="L37" s="4"/>
      <c r="M37" s="4" t="s">
        <v>178</v>
      </c>
      <c r="N37" s="4" t="s">
        <v>103</v>
      </c>
      <c r="O37" s="4" t="s">
        <v>51</v>
      </c>
      <c r="GG37" s="3" t="s">
        <v>226</v>
      </c>
    </row>
    <row r="38" spans="1:189">
      <c r="A38" s="10"/>
      <c r="B38" s="3" t="str">
        <f>'Application Info'!B38</f>
        <v>Santander Consumer Perú</v>
      </c>
      <c r="C38" s="4" t="str">
        <f>'Application Info'!C38</f>
        <v>Bantotal - Core Bancario</v>
      </c>
      <c r="D38" s="3" t="str">
        <f>IF(C38='Application Info'!C38,'Application Info'!G38,"N/A")</f>
        <v>Azure</v>
      </c>
      <c r="E38" s="3" t="str">
        <f>IF(C38='Application Info'!C38,'Application Info'!H38,"N/A")</f>
        <v>3. Hybrid cloud</v>
      </c>
      <c r="F38" s="4" t="s">
        <v>185</v>
      </c>
      <c r="G38" s="4" t="s">
        <v>161</v>
      </c>
      <c r="H38" s="4" t="s">
        <v>196</v>
      </c>
      <c r="I38" s="4"/>
      <c r="J38" s="4" t="s">
        <v>156</v>
      </c>
      <c r="K38" s="4"/>
      <c r="L38" s="4"/>
      <c r="M38" s="4" t="s">
        <v>178</v>
      </c>
      <c r="N38" s="4" t="s">
        <v>103</v>
      </c>
      <c r="O38" s="4" t="s">
        <v>166</v>
      </c>
      <c r="GG38" s="3" t="s">
        <v>227</v>
      </c>
    </row>
    <row r="39" spans="1:189">
      <c r="A39" s="10"/>
      <c r="B39" s="3" t="str">
        <f>'Application Info'!B39</f>
        <v>Santander Consumer Perú</v>
      </c>
      <c r="C39" s="4" t="str">
        <f>'Application Info'!C39</f>
        <v>Motor de Crédito</v>
      </c>
      <c r="D39" s="3" t="str">
        <f>IF(C39='Application Info'!C39,'Application Info'!G39,"N/A")</f>
        <v>Local Country</v>
      </c>
      <c r="E39" s="3" t="str">
        <f>IF(C39='Application Info'!C39,'Application Info'!H39,"N/A")</f>
        <v>8. On-Premise</v>
      </c>
      <c r="F39" s="4" t="s">
        <v>160</v>
      </c>
      <c r="G39" s="4" t="s">
        <v>153</v>
      </c>
      <c r="H39" s="4" t="s">
        <v>162</v>
      </c>
      <c r="I39" s="4"/>
      <c r="J39" s="4" t="s">
        <v>156</v>
      </c>
      <c r="K39" s="4"/>
      <c r="L39" s="4"/>
      <c r="M39" s="4" t="s">
        <v>172</v>
      </c>
      <c r="N39" s="4" t="s">
        <v>110</v>
      </c>
      <c r="O39" s="4" t="s">
        <v>51</v>
      </c>
      <c r="GG39" s="3" t="s">
        <v>228</v>
      </c>
    </row>
    <row r="40" spans="1:189">
      <c r="A40" s="10"/>
      <c r="B40" s="3" t="str">
        <f>'Application Info'!B40</f>
        <v>Santander Consumer Perú</v>
      </c>
      <c r="C40" s="4" t="str">
        <f>'Application Info'!C40</f>
        <v>Santi</v>
      </c>
      <c r="D40" s="3" t="str">
        <f>IF(C40='Application Info'!C40,'Application Info'!G40,"N/A")</f>
        <v>Local Country</v>
      </c>
      <c r="E40" s="3" t="str">
        <f>IF(C40='Application Info'!C40,'Application Info'!H40,"N/A")</f>
        <v>8. On-Premise</v>
      </c>
      <c r="F40" s="4" t="s">
        <v>180</v>
      </c>
      <c r="G40" s="4" t="s">
        <v>161</v>
      </c>
      <c r="H40" s="4" t="s">
        <v>162</v>
      </c>
      <c r="I40" s="4"/>
      <c r="J40" s="4" t="s">
        <v>156</v>
      </c>
      <c r="K40" s="4"/>
      <c r="L40" s="4"/>
      <c r="M40" s="4" t="s">
        <v>178</v>
      </c>
      <c r="N40" s="4" t="s">
        <v>103</v>
      </c>
      <c r="O40" s="4" t="s">
        <v>51</v>
      </c>
      <c r="GG40" s="3" t="s">
        <v>229</v>
      </c>
    </row>
    <row r="41" spans="1:189">
      <c r="A41" s="10"/>
      <c r="B41" s="3" t="str">
        <f>'Application Info'!B41</f>
        <v>Santander Consumer Perú</v>
      </c>
      <c r="C41" s="4" t="str">
        <f>'Application Info'!C41</f>
        <v>Seguros La Positiva</v>
      </c>
      <c r="D41" s="3" t="str">
        <f>IF(C41='Application Info'!C41,'Application Info'!G41,"N/A")</f>
        <v>Local Country</v>
      </c>
      <c r="E41" s="3" t="str">
        <f>IF(C41='Application Info'!C41,'Application Info'!H41,"N/A")</f>
        <v>8. On-Premise</v>
      </c>
      <c r="F41" s="4" t="s">
        <v>160</v>
      </c>
      <c r="G41" s="4" t="s">
        <v>146</v>
      </c>
      <c r="H41" s="4" t="s">
        <v>162</v>
      </c>
      <c r="I41" s="4"/>
      <c r="J41" s="4" t="s">
        <v>156</v>
      </c>
      <c r="K41" s="4"/>
      <c r="L41" s="4"/>
      <c r="M41" s="4" t="s">
        <v>157</v>
      </c>
      <c r="N41" s="4" t="s">
        <v>110</v>
      </c>
      <c r="O41" s="4" t="s">
        <v>51</v>
      </c>
      <c r="GG41" s="3" t="s">
        <v>230</v>
      </c>
    </row>
    <row r="42" spans="1:189">
      <c r="A42" s="10"/>
      <c r="B42" s="3" t="str">
        <f>'Application Info'!B42</f>
        <v>Santander Consumer Perú</v>
      </c>
      <c r="C42" s="4" t="str">
        <f>'Application Info'!C42</f>
        <v>Equifax</v>
      </c>
      <c r="D42" s="3" t="str">
        <f>IF(C42='Application Info'!C42,'Application Info'!G42,"N/A")</f>
        <v>Local Country</v>
      </c>
      <c r="E42" s="3" t="str">
        <f>IF(C42='Application Info'!C42,'Application Info'!H42,"N/A")</f>
        <v>5. SaaS</v>
      </c>
      <c r="F42" s="4" t="s">
        <v>160</v>
      </c>
      <c r="G42" s="4" t="s">
        <v>169</v>
      </c>
      <c r="H42" s="4" t="s">
        <v>196</v>
      </c>
      <c r="I42" s="4"/>
      <c r="J42" s="4" t="s">
        <v>156</v>
      </c>
      <c r="K42" s="4"/>
      <c r="L42" s="4"/>
      <c r="M42" s="4" t="s">
        <v>164</v>
      </c>
      <c r="N42" s="4" t="s">
        <v>110</v>
      </c>
      <c r="O42" s="4" t="s">
        <v>150</v>
      </c>
      <c r="GG42" s="3" t="s">
        <v>231</v>
      </c>
    </row>
    <row r="43" spans="1:189">
      <c r="A43" s="10"/>
      <c r="B43" s="3" t="str">
        <f>'Application Info'!B43</f>
        <v>Santander Consumer Perú</v>
      </c>
      <c r="C43" s="4" t="str">
        <f>'Application Info'!C43</f>
        <v>Docuclass</v>
      </c>
      <c r="D43" s="3" t="str">
        <f>IF(C43='Application Info'!C43,'Application Info'!G43,"N/A")</f>
        <v>Mexico</v>
      </c>
      <c r="E43" s="3" t="str">
        <f>IF(C43='Application Info'!C43,'Application Info'!H43,"N/A")</f>
        <v>8. On-Premise</v>
      </c>
      <c r="F43" s="4" t="s">
        <v>160</v>
      </c>
      <c r="G43" s="4" t="s">
        <v>169</v>
      </c>
      <c r="H43" s="4" t="s">
        <v>196</v>
      </c>
      <c r="I43" s="4"/>
      <c r="J43" s="4" t="s">
        <v>156</v>
      </c>
      <c r="K43" s="4"/>
      <c r="L43" s="4"/>
      <c r="M43" s="4" t="s">
        <v>164</v>
      </c>
      <c r="N43" s="4" t="s">
        <v>110</v>
      </c>
      <c r="O43" s="4" t="s">
        <v>150</v>
      </c>
      <c r="GG43" s="3" t="s">
        <v>232</v>
      </c>
    </row>
    <row r="44" spans="1:189">
      <c r="A44" s="10"/>
      <c r="B44" s="3" t="str">
        <f>'Application Info'!B44</f>
        <v>Santander Consumer Perú</v>
      </c>
      <c r="C44" s="4" t="str">
        <f>'Application Info'!C44</f>
        <v>Seir</v>
      </c>
      <c r="D44" s="3">
        <f>IF(C44='Application Info'!C44,'Application Info'!G44,"N/A")</f>
        <v>0</v>
      </c>
      <c r="E44" s="3" t="str">
        <f>IF(C44='Application Info'!C44,'Application Info'!H44,"N/A")</f>
        <v>3. Hybrid cloud</v>
      </c>
      <c r="F44" s="4" t="s">
        <v>180</v>
      </c>
      <c r="G44" s="4" t="s">
        <v>45</v>
      </c>
      <c r="H44" s="4" t="s">
        <v>162</v>
      </c>
      <c r="I44" s="4"/>
      <c r="J44" s="4" t="s">
        <v>156</v>
      </c>
      <c r="K44" s="4"/>
      <c r="L44" s="4"/>
      <c r="M44" s="4" t="s">
        <v>172</v>
      </c>
      <c r="N44" s="4" t="s">
        <v>103</v>
      </c>
      <c r="O44" s="4" t="s">
        <v>51</v>
      </c>
      <c r="GG44" s="3" t="s">
        <v>233</v>
      </c>
    </row>
    <row r="45" spans="1:189">
      <c r="A45" s="10"/>
      <c r="B45" s="3" t="str">
        <f>'Application Info'!B45</f>
        <v>Santander Consumer Perú</v>
      </c>
      <c r="C45" s="4" t="str">
        <f>'Application Info'!C45</f>
        <v>Pomelo</v>
      </c>
      <c r="D45" s="3" t="str">
        <f>IF(C45='Application Info'!C45,'Application Info'!G45,"N/A")</f>
        <v>Local Country</v>
      </c>
      <c r="E45" s="3" t="str">
        <f>IF(C45='Application Info'!C45,'Application Info'!H45,"N/A")</f>
        <v>8. On-Premise</v>
      </c>
      <c r="F45" s="4" t="s">
        <v>160</v>
      </c>
      <c r="G45" s="4" t="s">
        <v>169</v>
      </c>
      <c r="H45" s="4" t="s">
        <v>196</v>
      </c>
      <c r="I45" s="4"/>
      <c r="J45" s="4" t="s">
        <v>156</v>
      </c>
      <c r="K45" s="4"/>
      <c r="L45" s="4"/>
      <c r="M45" s="4" t="s">
        <v>178</v>
      </c>
      <c r="N45" s="4" t="s">
        <v>110</v>
      </c>
      <c r="O45" s="4" t="s">
        <v>150</v>
      </c>
      <c r="GG45" s="3" t="s">
        <v>234</v>
      </c>
    </row>
    <row r="46" spans="1:189">
      <c r="A46" s="10"/>
      <c r="B46" s="3" t="str">
        <f>'Application Info'!B46</f>
        <v>Santander Consumer Perú</v>
      </c>
      <c r="C46" s="4" t="str">
        <f>'Application Info'!C46</f>
        <v>Izypay</v>
      </c>
      <c r="D46" s="3" t="str">
        <f>IF(C46='Application Info'!C46,'Application Info'!G46,"N/A")</f>
        <v>Mexico</v>
      </c>
      <c r="E46" s="3" t="str">
        <f>IF(C46='Application Info'!C46,'Application Info'!H46,"N/A")</f>
        <v>8. On-Premise</v>
      </c>
      <c r="F46" s="4" t="s">
        <v>145</v>
      </c>
      <c r="G46" s="4" t="s">
        <v>153</v>
      </c>
      <c r="H46" s="4" t="s">
        <v>162</v>
      </c>
      <c r="I46" s="4" t="s">
        <v>210</v>
      </c>
      <c r="J46" s="4" t="s">
        <v>156</v>
      </c>
      <c r="K46" s="4"/>
      <c r="L46" s="4"/>
      <c r="M46" s="4" t="s">
        <v>178</v>
      </c>
      <c r="N46" s="4" t="s">
        <v>103</v>
      </c>
      <c r="O46" s="4" t="s">
        <v>120</v>
      </c>
      <c r="GG46" s="3" t="s">
        <v>51</v>
      </c>
    </row>
    <row r="47" spans="1:189">
      <c r="A47" s="10"/>
      <c r="B47" s="3" t="str">
        <f>'Application Info'!B47</f>
        <v>Santander Consumer Perú</v>
      </c>
      <c r="C47" s="4" t="str">
        <f>'Application Info'!C47</f>
        <v>Kasnet</v>
      </c>
      <c r="D47" s="3" t="str">
        <f>IF(C47='Application Info'!C47,'Application Info'!G47,"N/A")</f>
        <v>Mexico</v>
      </c>
      <c r="E47" s="3" t="str">
        <f>IF(C47='Application Info'!C47,'Application Info'!H47,"N/A")</f>
        <v>8. On-Premise</v>
      </c>
      <c r="F47" s="4" t="s">
        <v>160</v>
      </c>
      <c r="G47" s="4" t="s">
        <v>153</v>
      </c>
      <c r="H47" s="4" t="s">
        <v>162</v>
      </c>
      <c r="I47" s="4" t="s">
        <v>210</v>
      </c>
      <c r="J47" s="4" t="s">
        <v>156</v>
      </c>
      <c r="K47" s="4"/>
      <c r="L47" s="4"/>
      <c r="M47" s="4" t="s">
        <v>178</v>
      </c>
      <c r="N47" s="4" t="s">
        <v>103</v>
      </c>
      <c r="O47" s="4" t="s">
        <v>120</v>
      </c>
      <c r="GG47" s="3" t="s">
        <v>235</v>
      </c>
    </row>
    <row r="48" spans="1:189">
      <c r="A48" s="10"/>
      <c r="B48" s="3" t="str">
        <f>'Application Info'!B48</f>
        <v>Santander Consumer Perú</v>
      </c>
      <c r="C48" s="4" t="str">
        <f>'Application Info'!C48</f>
        <v>ChatBot</v>
      </c>
      <c r="D48" s="3" t="str">
        <f>IF(C48='Application Info'!C48,'Application Info'!G48,"N/A")</f>
        <v>US</v>
      </c>
      <c r="E48" s="3" t="str">
        <f>IF(C48='Application Info'!C48,'Application Info'!H48,"N/A")</f>
        <v>5. SaaS</v>
      </c>
      <c r="F48" s="4" t="s">
        <v>174</v>
      </c>
      <c r="G48" s="4" t="s">
        <v>153</v>
      </c>
      <c r="H48" s="4" t="s">
        <v>162</v>
      </c>
      <c r="I48" s="4" t="s">
        <v>210</v>
      </c>
      <c r="J48" s="4" t="s">
        <v>156</v>
      </c>
      <c r="K48" s="4"/>
      <c r="L48" s="4"/>
      <c r="M48" s="4" t="s">
        <v>157</v>
      </c>
      <c r="N48" s="4" t="s">
        <v>165</v>
      </c>
      <c r="O48" s="4" t="s">
        <v>120</v>
      </c>
      <c r="GG48" s="3" t="s">
        <v>236</v>
      </c>
    </row>
    <row r="49" spans="1:189">
      <c r="A49" s="10"/>
      <c r="B49" s="3" t="str">
        <f>'Application Info'!B49</f>
        <v>Santander Consumer Perú</v>
      </c>
      <c r="C49" s="4" t="str">
        <f>'Application Info'!C49</f>
        <v>Data Riesgos</v>
      </c>
      <c r="D49" s="3">
        <f>IF(C49='Application Info'!C49,'Application Info'!G49,"N/A")</f>
        <v>0</v>
      </c>
      <c r="E49" s="3" t="str">
        <f>IF(C49='Application Info'!C49,'Application Info'!H49,"N/A")</f>
        <v>3. Hybrid cloud</v>
      </c>
      <c r="F49" s="4" t="s">
        <v>168</v>
      </c>
      <c r="G49" s="4" t="s">
        <v>161</v>
      </c>
      <c r="H49" s="4" t="s">
        <v>193</v>
      </c>
      <c r="I49" s="4"/>
      <c r="J49" s="4" t="s">
        <v>156</v>
      </c>
      <c r="K49" s="4"/>
      <c r="L49" s="4"/>
      <c r="M49" s="4" t="s">
        <v>172</v>
      </c>
      <c r="N49" s="4" t="s">
        <v>103</v>
      </c>
      <c r="O49" s="4" t="s">
        <v>166</v>
      </c>
      <c r="GG49" s="3" t="s">
        <v>237</v>
      </c>
    </row>
    <row r="50" spans="1:189">
      <c r="A50" s="10"/>
      <c r="B50" s="3" t="str">
        <f>'Application Info'!B50</f>
        <v>Santander Consumer Perú</v>
      </c>
      <c r="C50" s="4" t="str">
        <f>'Application Info'!C50</f>
        <v>API OTP</v>
      </c>
      <c r="D50" s="3" t="str">
        <f>IF(C50='Application Info'!C50,'Application Info'!G50,"N/A")</f>
        <v>Mexico</v>
      </c>
      <c r="E50" s="3" t="str">
        <f>IF(C50='Application Info'!C50,'Application Info'!H50,"N/A")</f>
        <v>3. Hybrid cloud</v>
      </c>
      <c r="F50" s="4" t="s">
        <v>160</v>
      </c>
      <c r="G50" s="4" t="s">
        <v>45</v>
      </c>
      <c r="H50" s="4" t="s">
        <v>196</v>
      </c>
      <c r="I50" s="4"/>
      <c r="J50" s="4" t="s">
        <v>156</v>
      </c>
      <c r="K50" s="4"/>
      <c r="L50" s="4"/>
      <c r="M50" s="4" t="s">
        <v>172</v>
      </c>
      <c r="N50" s="4" t="s">
        <v>110</v>
      </c>
      <c r="O50" s="4" t="s">
        <v>150</v>
      </c>
      <c r="GG50" s="3" t="s">
        <v>238</v>
      </c>
    </row>
    <row r="51" spans="1:189">
      <c r="A51" s="10"/>
      <c r="B51" s="3" t="str">
        <f>'Application Info'!B51</f>
        <v>Santander Consumer Perú</v>
      </c>
      <c r="C51" s="4" t="str">
        <f>'Application Info'!C51</f>
        <v>API Portal</v>
      </c>
      <c r="D51" s="3" t="str">
        <f>IF(C51='Application Info'!C51,'Application Info'!G51,"N/A")</f>
        <v>Mexico</v>
      </c>
      <c r="E51" s="3" t="str">
        <f>IF(C51='Application Info'!C51,'Application Info'!H51,"N/A")</f>
        <v>3. Hybrid cloud</v>
      </c>
      <c r="F51" s="4" t="s">
        <v>180</v>
      </c>
      <c r="G51" s="4" t="s">
        <v>45</v>
      </c>
      <c r="H51" s="4" t="s">
        <v>196</v>
      </c>
      <c r="I51" s="4"/>
      <c r="J51" s="4" t="s">
        <v>156</v>
      </c>
      <c r="K51" s="4"/>
      <c r="L51" s="4"/>
      <c r="M51" s="4" t="s">
        <v>172</v>
      </c>
      <c r="N51" s="4" t="s">
        <v>110</v>
      </c>
      <c r="O51" s="4" t="s">
        <v>150</v>
      </c>
      <c r="GG51" s="3" t="s">
        <v>239</v>
      </c>
    </row>
    <row r="52" spans="1:189">
      <c r="A52" s="10"/>
      <c r="B52" s="3" t="str">
        <f>'Application Info'!B52</f>
        <v>Santander Consumer Perú</v>
      </c>
      <c r="C52" s="4" t="str">
        <f>'Application Info'!C52</f>
        <v>Venta Cartera</v>
      </c>
      <c r="D52" s="3" t="str">
        <f>IF(C52='Application Info'!C52,'Application Info'!G52,"N/A")</f>
        <v>Mexico</v>
      </c>
      <c r="E52" s="3" t="str">
        <f>IF(C52='Application Info'!C52,'Application Info'!H52,"N/A")</f>
        <v>3. Hybrid cloud</v>
      </c>
      <c r="F52" s="4" t="s">
        <v>180</v>
      </c>
      <c r="G52" s="4" t="s">
        <v>161</v>
      </c>
      <c r="H52" s="4" t="s">
        <v>162</v>
      </c>
      <c r="I52" s="4"/>
      <c r="J52" s="4" t="s">
        <v>156</v>
      </c>
      <c r="K52" s="4"/>
      <c r="L52" s="4"/>
      <c r="M52" s="4" t="s">
        <v>178</v>
      </c>
      <c r="N52" s="4" t="s">
        <v>110</v>
      </c>
      <c r="O52" s="4" t="s">
        <v>51</v>
      </c>
      <c r="GG52" s="3" t="s">
        <v>240</v>
      </c>
    </row>
    <row r="53" spans="1:189">
      <c r="A53" s="10"/>
      <c r="B53" s="3" t="str">
        <f>'Application Info'!B53</f>
        <v>Santander Perú</v>
      </c>
      <c r="C53" s="4" t="str">
        <f>'Application Info'!C53</f>
        <v>Virtual Assistant P&amp;C</v>
      </c>
      <c r="D53" s="3">
        <f>IF(C53='Application Info'!C53,'Application Info'!G53,"N/A")</f>
        <v>0</v>
      </c>
      <c r="E53" s="3" t="str">
        <f>IF(C53='Application Info'!C53,'Application Info'!H53,"N/A")</f>
        <v>3. Hybrid cloud</v>
      </c>
      <c r="F53" s="4" t="s">
        <v>160</v>
      </c>
      <c r="G53" s="4" t="s">
        <v>51</v>
      </c>
      <c r="H53" s="4" t="s">
        <v>162</v>
      </c>
      <c r="I53" s="4"/>
      <c r="J53" s="4" t="s">
        <v>156</v>
      </c>
      <c r="K53" s="4"/>
      <c r="L53" s="4"/>
      <c r="M53" s="4" t="s">
        <v>45</v>
      </c>
      <c r="N53" s="4" t="s">
        <v>51</v>
      </c>
      <c r="O53" s="4" t="s">
        <v>51</v>
      </c>
    </row>
    <row r="54" spans="1:189">
      <c r="A54" s="10"/>
      <c r="B54" s="3" t="str">
        <f>'Application Info'!B54</f>
        <v>Santander Perú</v>
      </c>
      <c r="C54" s="4" t="str">
        <f>'Application Info'!C54</f>
        <v>Masterbase</v>
      </c>
      <c r="D54" s="3" t="str">
        <f>IF(C54='Application Info'!C54,'Application Info'!G54,"N/A")</f>
        <v>Mexico</v>
      </c>
      <c r="E54" s="3" t="str">
        <f>IF(C54='Application Info'!C54,'Application Info'!H54,"N/A")</f>
        <v>5. SaaS</v>
      </c>
      <c r="F54" s="4" t="s">
        <v>152</v>
      </c>
      <c r="G54" s="4" t="s">
        <v>161</v>
      </c>
      <c r="H54" s="4" t="s">
        <v>162</v>
      </c>
      <c r="I54" s="4"/>
      <c r="J54" s="4" t="s">
        <v>156</v>
      </c>
      <c r="K54" s="4"/>
      <c r="L54" s="4"/>
      <c r="M54" s="4" t="s">
        <v>172</v>
      </c>
      <c r="N54" s="4" t="s">
        <v>110</v>
      </c>
      <c r="O54" s="4" t="s">
        <v>51</v>
      </c>
      <c r="GG54" s="3" t="s">
        <v>241</v>
      </c>
    </row>
    <row r="55" spans="1:189">
      <c r="A55" s="10"/>
      <c r="B55" s="3" t="str">
        <f>'Application Info'!B55</f>
        <v>Santander Perú</v>
      </c>
      <c r="C55" s="4" t="str">
        <f>'Application Info'!C55</f>
        <v>Data Analytics</v>
      </c>
      <c r="D55" s="3" t="str">
        <f>IF(C55='Application Info'!C55,'Application Info'!G55,"N/A")</f>
        <v>Mexico</v>
      </c>
      <c r="E55" s="3" t="str">
        <f>IF(C55='Application Info'!C55,'Application Info'!H55,"N/A")</f>
        <v>5. SaaS</v>
      </c>
      <c r="F55" s="4" t="s">
        <v>168</v>
      </c>
      <c r="G55" s="4" t="s">
        <v>161</v>
      </c>
      <c r="H55" s="4" t="s">
        <v>193</v>
      </c>
      <c r="I55" s="4"/>
      <c r="J55" s="4" t="s">
        <v>156</v>
      </c>
      <c r="K55" s="4"/>
      <c r="L55" s="4"/>
      <c r="M55" s="4" t="s">
        <v>172</v>
      </c>
      <c r="N55" s="4" t="s">
        <v>103</v>
      </c>
      <c r="O55" s="4" t="s">
        <v>166</v>
      </c>
    </row>
    <row r="56" spans="1:189">
      <c r="A56" s="10"/>
      <c r="B56" s="3" t="str">
        <f>'Application Info'!B56</f>
        <v>Santander Perú</v>
      </c>
      <c r="C56" s="4" t="str">
        <f>'Application Info'!C56</f>
        <v>Gestión Portafolio PMO</v>
      </c>
      <c r="D56" s="3" t="str">
        <f>IF(C56='Application Info'!C56,'Application Info'!G56,"N/A")</f>
        <v>Local Country</v>
      </c>
      <c r="E56" s="3" t="str">
        <f>IF(C56='Application Info'!C56,'Application Info'!H56,"N/A")</f>
        <v>5. SaaS</v>
      </c>
      <c r="F56" s="4" t="s">
        <v>160</v>
      </c>
      <c r="G56" s="4" t="s">
        <v>161</v>
      </c>
      <c r="H56" s="4" t="s">
        <v>162</v>
      </c>
      <c r="I56" s="4"/>
      <c r="J56" s="4" t="s">
        <v>156</v>
      </c>
      <c r="K56" s="4"/>
      <c r="L56" s="4"/>
      <c r="M56" s="4" t="s">
        <v>157</v>
      </c>
      <c r="N56" s="4" t="s">
        <v>165</v>
      </c>
      <c r="O56" s="4" t="s">
        <v>51</v>
      </c>
      <c r="GG56" s="3" t="s">
        <v>120</v>
      </c>
    </row>
    <row r="57" spans="1:189">
      <c r="A57" s="10"/>
      <c r="B57" s="3" t="str">
        <f>'Application Info'!B57</f>
        <v>Santander Perú</v>
      </c>
      <c r="C57" s="4" t="str">
        <f>'Application Info'!C57</f>
        <v>Diloo</v>
      </c>
      <c r="D57" s="3" t="str">
        <f>IF(C57='Application Info'!C57,'Application Info'!G57,"N/A")</f>
        <v>US</v>
      </c>
      <c r="E57" s="3" t="str">
        <f>IF(C57='Application Info'!C57,'Application Info'!H57,"N/A")</f>
        <v>7.Vendor sit</v>
      </c>
      <c r="F57" s="4" t="s">
        <v>180</v>
      </c>
      <c r="G57" s="4" t="s">
        <v>169</v>
      </c>
      <c r="H57" s="4" t="s">
        <v>196</v>
      </c>
      <c r="I57" s="4"/>
      <c r="J57" s="4" t="s">
        <v>156</v>
      </c>
      <c r="K57" s="4"/>
      <c r="L57" s="4"/>
      <c r="M57" s="4" t="s">
        <v>164</v>
      </c>
      <c r="N57" s="4" t="s">
        <v>110</v>
      </c>
      <c r="O57" s="4" t="s">
        <v>150</v>
      </c>
      <c r="GG57" s="3" t="s">
        <v>242</v>
      </c>
    </row>
    <row r="58" spans="1:189">
      <c r="A58" s="10"/>
      <c r="B58" s="3" t="str">
        <f>'Application Info'!B58</f>
        <v>Santander Perú</v>
      </c>
      <c r="C58" s="4" t="str">
        <f>'Application Info'!C58</f>
        <v>Lynx</v>
      </c>
      <c r="D58" s="3" t="str">
        <f>IF(C58='Application Info'!C58,'Application Info'!G58,"N/A")</f>
        <v>Mexico</v>
      </c>
      <c r="E58" s="3" t="str">
        <f>IF(C58='Application Info'!C58,'Application Info'!H58,"N/A")</f>
        <v>8. On-Premise</v>
      </c>
      <c r="F58" s="4" t="s">
        <v>160</v>
      </c>
      <c r="G58" s="4" t="s">
        <v>153</v>
      </c>
      <c r="H58" s="4" t="s">
        <v>162</v>
      </c>
      <c r="I58" s="4"/>
      <c r="J58" s="4" t="s">
        <v>156</v>
      </c>
      <c r="K58" s="4"/>
      <c r="L58" s="4"/>
      <c r="M58" s="4" t="s">
        <v>178</v>
      </c>
      <c r="N58" s="4" t="s">
        <v>103</v>
      </c>
      <c r="O58" s="4" t="s">
        <v>51</v>
      </c>
      <c r="GG58" s="3" t="s">
        <v>243</v>
      </c>
    </row>
    <row r="59" spans="1:189">
      <c r="A59" s="10"/>
      <c r="B59" s="3" t="str">
        <f>'Application Info'!B59</f>
        <v>Santander Perú</v>
      </c>
      <c r="C59" s="4" t="str">
        <f>'Application Info'!C59</f>
        <v xml:space="preserve">Astara/SK Berge </v>
      </c>
      <c r="D59" s="3" t="str">
        <f>IF(C59='Application Info'!C59,'Application Info'!G59,"N/A")</f>
        <v>Local Country</v>
      </c>
      <c r="E59" s="3" t="str">
        <f>IF(C59='Application Info'!C59,'Application Info'!H59,"N/A")</f>
        <v>3. Hybrid cloud</v>
      </c>
      <c r="F59" s="4" t="s">
        <v>160</v>
      </c>
      <c r="G59" s="4" t="s">
        <v>153</v>
      </c>
      <c r="H59" s="4" t="s">
        <v>200</v>
      </c>
      <c r="I59" s="4"/>
      <c r="J59" s="4" t="s">
        <v>156</v>
      </c>
      <c r="K59" s="4"/>
      <c r="L59" s="4"/>
      <c r="M59" s="4" t="s">
        <v>178</v>
      </c>
      <c r="N59" s="4" t="s">
        <v>103</v>
      </c>
      <c r="O59" s="4" t="s">
        <v>45</v>
      </c>
      <c r="GG59" s="3" t="s">
        <v>244</v>
      </c>
    </row>
    <row r="60" spans="1:189">
      <c r="A60" s="10"/>
      <c r="B60" s="3" t="str">
        <f>'Application Info'!B60</f>
        <v>Santander Perú</v>
      </c>
      <c r="C60" s="4" t="str">
        <f>'Application Info'!C60</f>
        <v>Factoring Data Lake Leads</v>
      </c>
      <c r="D60" s="3" t="str">
        <f>IF(C60='Application Info'!C60,'Application Info'!G60,"N/A")</f>
        <v>Local Country</v>
      </c>
      <c r="E60" s="3" t="str">
        <f>IF(C60='Application Info'!C60,'Application Info'!H60,"N/A")</f>
        <v>3. Hybrid cloud</v>
      </c>
      <c r="F60" s="4" t="s">
        <v>152</v>
      </c>
      <c r="G60" s="4" t="s">
        <v>153</v>
      </c>
      <c r="H60" s="4" t="s">
        <v>196</v>
      </c>
      <c r="I60" s="4"/>
      <c r="J60" s="4" t="s">
        <v>156</v>
      </c>
      <c r="K60" s="4"/>
      <c r="L60" s="4"/>
      <c r="M60" s="4" t="s">
        <v>172</v>
      </c>
      <c r="N60" s="4" t="s">
        <v>110</v>
      </c>
      <c r="O60" s="4" t="s">
        <v>45</v>
      </c>
      <c r="GG60" s="3" t="s">
        <v>45</v>
      </c>
    </row>
    <row r="61" spans="1:189">
      <c r="A61" s="10"/>
      <c r="B61" s="3" t="str">
        <f>'Application Info'!B61</f>
        <v>Santander Perú</v>
      </c>
      <c r="C61" s="4" t="str">
        <f>'Application Info'!C61</f>
        <v>Monitor Plus (ETL) - Transaction Monitorig</v>
      </c>
      <c r="D61" s="3" t="str">
        <f>IF(C61='Application Info'!C61,'Application Info'!G61,"N/A")</f>
        <v>Azure</v>
      </c>
      <c r="E61" s="3" t="str">
        <f>IF(C61='Application Info'!C61,'Application Info'!H61,"N/A")</f>
        <v>5. SaaS</v>
      </c>
      <c r="F61" s="4" t="s">
        <v>160</v>
      </c>
      <c r="G61" s="4" t="s">
        <v>153</v>
      </c>
      <c r="H61" s="4" t="s">
        <v>162</v>
      </c>
      <c r="I61" s="4"/>
      <c r="J61" s="4" t="s">
        <v>156</v>
      </c>
      <c r="K61" s="4"/>
      <c r="L61" s="4"/>
      <c r="M61" s="4" t="s">
        <v>164</v>
      </c>
      <c r="N61" s="4" t="s">
        <v>165</v>
      </c>
      <c r="O61" s="4" t="s">
        <v>51</v>
      </c>
    </row>
    <row r="62" spans="1:189">
      <c r="A62" s="10"/>
      <c r="B62" s="3" t="str">
        <f>'Application Info'!B62</f>
        <v>Santander Perú</v>
      </c>
      <c r="C62" s="4" t="str">
        <f>'Application Info'!C62</f>
        <v>Dashboards Analytics</v>
      </c>
      <c r="D62" s="3" t="str">
        <f>IF(C62='Application Info'!C62,'Application Info'!G62,"N/A")</f>
        <v>Local Country</v>
      </c>
      <c r="E62" s="3" t="str">
        <f>IF(C62='Application Info'!C62,'Application Info'!H62,"N/A")</f>
        <v>8. On-Premise</v>
      </c>
      <c r="F62" s="4" t="s">
        <v>174</v>
      </c>
      <c r="G62" s="4" t="s">
        <v>161</v>
      </c>
      <c r="H62" s="4" t="s">
        <v>193</v>
      </c>
      <c r="I62" s="4"/>
      <c r="J62" s="4" t="s">
        <v>156</v>
      </c>
      <c r="K62" s="4"/>
      <c r="L62" s="4"/>
      <c r="M62" s="4" t="s">
        <v>172</v>
      </c>
      <c r="N62" s="4" t="s">
        <v>103</v>
      </c>
      <c r="O62" s="4" t="s">
        <v>166</v>
      </c>
    </row>
    <row r="63" spans="1:189">
      <c r="A63" s="10"/>
      <c r="B63" s="3" t="str">
        <f>'Application Info'!B63</f>
        <v>Santander Perú</v>
      </c>
      <c r="C63" s="4" t="str">
        <f>'Application Info'!C63</f>
        <v>Loan Tape</v>
      </c>
      <c r="D63" s="3" t="str">
        <f>IF(C63='Application Info'!C63,'Application Info'!G63,"N/A")</f>
        <v>Local Country</v>
      </c>
      <c r="E63" s="3" t="str">
        <f>IF(C63='Application Info'!C63,'Application Info'!H63,"N/A")</f>
        <v>8. On-Premise</v>
      </c>
      <c r="F63" s="4" t="s">
        <v>180</v>
      </c>
      <c r="G63" s="4" t="s">
        <v>153</v>
      </c>
      <c r="H63" s="4" t="s">
        <v>162</v>
      </c>
      <c r="I63" s="4"/>
      <c r="J63" s="4" t="s">
        <v>156</v>
      </c>
      <c r="K63" s="4"/>
      <c r="L63" s="4"/>
      <c r="M63" s="4" t="s">
        <v>178</v>
      </c>
      <c r="N63" s="4" t="s">
        <v>110</v>
      </c>
      <c r="O63" s="4" t="s">
        <v>51</v>
      </c>
    </row>
    <row r="64" spans="1:189">
      <c r="A64" s="10"/>
      <c r="B64" s="3" t="str">
        <f>'Application Info'!B64</f>
        <v>Santander Perú</v>
      </c>
      <c r="C64" s="4" t="str">
        <f>'Application Info'!C64</f>
        <v>Hiperfirmas</v>
      </c>
      <c r="D64" s="3" t="str">
        <f>IF(C64='Application Info'!C64,'Application Info'!G64,"N/A")</f>
        <v>Local Country</v>
      </c>
      <c r="E64" s="3" t="str">
        <f>IF(C64='Application Info'!C64,'Application Info'!H64,"N/A")</f>
        <v>8. On-Premise</v>
      </c>
      <c r="F64" s="4" t="s">
        <v>168</v>
      </c>
      <c r="G64" s="4" t="s">
        <v>169</v>
      </c>
      <c r="H64" s="4" t="s">
        <v>196</v>
      </c>
      <c r="I64" s="4"/>
      <c r="J64" s="4" t="s">
        <v>156</v>
      </c>
      <c r="K64" s="4"/>
      <c r="L64" s="4"/>
      <c r="M64" s="4" t="s">
        <v>172</v>
      </c>
      <c r="N64" s="4" t="s">
        <v>103</v>
      </c>
      <c r="O64" s="4" t="s">
        <v>150</v>
      </c>
    </row>
    <row r="65" spans="1:15">
      <c r="A65" s="10"/>
      <c r="B65" s="3" t="str">
        <f>'Application Info'!B65</f>
        <v>Santander Perú</v>
      </c>
      <c r="C65" s="4" t="str">
        <f>'Application Info'!C65</f>
        <v>Web Onboarding</v>
      </c>
      <c r="D65" s="3" t="str">
        <f>IF(C65='Application Info'!C65,'Application Info'!G65,"N/A")</f>
        <v>Mexico</v>
      </c>
      <c r="E65" s="3" t="str">
        <f>IF(C65='Application Info'!C65,'Application Info'!H65,"N/A")</f>
        <v>3. Hybrid cloud</v>
      </c>
      <c r="F65" s="4" t="s">
        <v>174</v>
      </c>
      <c r="G65" s="4" t="s">
        <v>161</v>
      </c>
      <c r="H65" s="4" t="s">
        <v>196</v>
      </c>
      <c r="I65" s="4"/>
      <c r="J65" s="4" t="s">
        <v>156</v>
      </c>
      <c r="K65" s="4"/>
      <c r="L65" s="4"/>
      <c r="M65" s="4" t="s">
        <v>178</v>
      </c>
      <c r="N65" s="4" t="s">
        <v>103</v>
      </c>
      <c r="O65" s="4" t="s">
        <v>150</v>
      </c>
    </row>
    <row r="66" spans="1:15">
      <c r="A66" s="10"/>
      <c r="B66" s="3" t="str">
        <f>'Application Info'!B66</f>
        <v>Santander Perú</v>
      </c>
      <c r="C66" s="4" t="str">
        <f>'Application Info'!C66</f>
        <v>LBTR Novatronic</v>
      </c>
      <c r="D66" s="3" t="str">
        <f>IF(C66='Application Info'!C66,'Application Info'!G66,"N/A")</f>
        <v>Mexico</v>
      </c>
      <c r="E66" s="3" t="str">
        <f>IF(C66='Application Info'!C66,'Application Info'!H66,"N/A")</f>
        <v>8. On-Premise</v>
      </c>
      <c r="F66" s="4" t="s">
        <v>152</v>
      </c>
      <c r="G66" s="4" t="s">
        <v>51</v>
      </c>
      <c r="H66" s="4" t="s">
        <v>162</v>
      </c>
      <c r="I66" s="4" t="s">
        <v>210</v>
      </c>
      <c r="J66" s="4" t="s">
        <v>156</v>
      </c>
      <c r="K66" s="4"/>
      <c r="L66" s="4"/>
      <c r="M66" s="4" t="s">
        <v>178</v>
      </c>
      <c r="N66" s="4" t="s">
        <v>103</v>
      </c>
      <c r="O66" s="4" t="s">
        <v>120</v>
      </c>
    </row>
    <row r="67" spans="1:15">
      <c r="A67" s="10"/>
      <c r="B67" s="3" t="str">
        <f>'Application Info'!B67</f>
        <v>Santander Perú</v>
      </c>
      <c r="C67" s="4" t="str">
        <f>'Application Info'!C67</f>
        <v>Web Pago Interno</v>
      </c>
      <c r="D67" s="3" t="str">
        <f>IF(C67='Application Info'!C67,'Application Info'!G67,"N/A")</f>
        <v>Local Country</v>
      </c>
      <c r="E67" s="3" t="str">
        <f>IF(C67='Application Info'!C67,'Application Info'!H67,"N/A")</f>
        <v>8. On-Premise</v>
      </c>
      <c r="F67" s="4" t="s">
        <v>160</v>
      </c>
      <c r="G67" s="4" t="s">
        <v>161</v>
      </c>
      <c r="H67" s="4" t="s">
        <v>196</v>
      </c>
      <c r="I67" s="4"/>
      <c r="J67" s="4" t="s">
        <v>156</v>
      </c>
      <c r="K67" s="4"/>
      <c r="L67" s="4"/>
      <c r="M67" s="4" t="s">
        <v>178</v>
      </c>
      <c r="N67" s="4" t="s">
        <v>103</v>
      </c>
      <c r="O67" s="4" t="s">
        <v>150</v>
      </c>
    </row>
    <row r="68" spans="1:15">
      <c r="A68" s="10"/>
      <c r="B68" s="3" t="str">
        <f>'Application Info'!B68</f>
        <v>Santander Perú</v>
      </c>
      <c r="C68" s="4" t="str">
        <f>'Application Info'!C68</f>
        <v>Retenciones SUNAT</v>
      </c>
      <c r="D68" s="3" t="str">
        <f>IF(C68='Application Info'!C68,'Application Info'!G68,"N/A")</f>
        <v>Local Country</v>
      </c>
      <c r="E68" s="3" t="str">
        <f>IF(C68='Application Info'!C68,'Application Info'!H68,"N/A")</f>
        <v>3. Hybrid cloud</v>
      </c>
      <c r="F68" s="4" t="s">
        <v>160</v>
      </c>
      <c r="G68" s="4" t="s">
        <v>153</v>
      </c>
      <c r="H68" s="4" t="s">
        <v>162</v>
      </c>
      <c r="I68" s="4" t="s">
        <v>210</v>
      </c>
      <c r="J68" s="4" t="s">
        <v>156</v>
      </c>
      <c r="K68" s="4"/>
      <c r="L68" s="4"/>
      <c r="M68" s="4" t="s">
        <v>178</v>
      </c>
      <c r="N68" s="4" t="s">
        <v>103</v>
      </c>
      <c r="O68" s="4" t="s">
        <v>120</v>
      </c>
    </row>
    <row r="69" spans="1:15">
      <c r="A69" s="10"/>
      <c r="B69" s="3" t="str">
        <f>'Application Info'!B69</f>
        <v>Santander Perú</v>
      </c>
      <c r="C69" s="4" t="str">
        <f>'Application Info'!C69</f>
        <v>Facturas Negociables</v>
      </c>
      <c r="D69" s="3" t="str">
        <f>IF(C69='Application Info'!C69,'Application Info'!G69,"N/A")</f>
        <v>Local Country</v>
      </c>
      <c r="E69" s="3" t="str">
        <f>IF(C69='Application Info'!C69,'Application Info'!H69,"N/A")</f>
        <v>8. On-Premise</v>
      </c>
      <c r="F69" s="4" t="s">
        <v>160</v>
      </c>
      <c r="G69" s="4" t="s">
        <v>161</v>
      </c>
      <c r="H69" s="4" t="s">
        <v>196</v>
      </c>
      <c r="I69" s="4"/>
      <c r="J69" s="4" t="s">
        <v>156</v>
      </c>
      <c r="K69" s="4"/>
      <c r="L69" s="4"/>
      <c r="M69" s="4" t="s">
        <v>172</v>
      </c>
      <c r="N69" s="4" t="s">
        <v>110</v>
      </c>
      <c r="O69" s="4" t="s">
        <v>45</v>
      </c>
    </row>
    <row r="70" spans="1:15">
      <c r="A70" s="10"/>
      <c r="B70" s="3" t="str">
        <f>'Application Info'!B70</f>
        <v>Santander Perú</v>
      </c>
      <c r="C70" s="4" t="str">
        <f>'Application Info'!C70</f>
        <v>GDS Modellica</v>
      </c>
      <c r="D70" s="3" t="str">
        <f>IF(C70='Application Info'!C70,'Application Info'!G70,"N/A")</f>
        <v>US</v>
      </c>
      <c r="E70" s="3" t="str">
        <f>IF(C70='Application Info'!C70,'Application Info'!H70,"N/A")</f>
        <v>7.Vendor sit</v>
      </c>
      <c r="F70" s="4" t="s">
        <v>174</v>
      </c>
      <c r="G70" s="4" t="s">
        <v>169</v>
      </c>
      <c r="H70" s="4" t="s">
        <v>196</v>
      </c>
      <c r="I70" s="4"/>
      <c r="J70" s="4" t="s">
        <v>156</v>
      </c>
      <c r="K70" s="4"/>
      <c r="L70" s="4"/>
      <c r="M70" s="4" t="s">
        <v>164</v>
      </c>
      <c r="N70" s="4" t="s">
        <v>110</v>
      </c>
      <c r="O70" s="4" t="s">
        <v>150</v>
      </c>
    </row>
    <row r="71" spans="1:15">
      <c r="A71" s="10"/>
      <c r="B71" s="3" t="str">
        <f>'Application Info'!B71</f>
        <v>Santander Perú</v>
      </c>
      <c r="C71" s="4" t="str">
        <f>'Application Info'!C71</f>
        <v xml:space="preserve">Qlik Sense </v>
      </c>
      <c r="D71" s="3" t="str">
        <f>IF(C71='Application Info'!C71,'Application Info'!G71,"N/A")</f>
        <v>Local Country</v>
      </c>
      <c r="E71" s="3" t="str">
        <f>IF(C71='Application Info'!C71,'Application Info'!H71,"N/A")</f>
        <v>8. On-Premise</v>
      </c>
      <c r="F71" s="4" t="s">
        <v>51</v>
      </c>
      <c r="G71" s="4" t="s">
        <v>169</v>
      </c>
      <c r="H71" s="4" t="s">
        <v>196</v>
      </c>
      <c r="I71" s="4"/>
      <c r="J71" s="4" t="s">
        <v>156</v>
      </c>
      <c r="K71" s="4"/>
      <c r="L71" s="4"/>
      <c r="M71" s="4" t="s">
        <v>164</v>
      </c>
      <c r="N71" s="4" t="s">
        <v>110</v>
      </c>
      <c r="O71" s="4" t="s">
        <v>150</v>
      </c>
    </row>
    <row r="72" spans="1:15">
      <c r="A72" s="10"/>
      <c r="B72" s="3" t="str">
        <f>'Application Info'!B72</f>
        <v>Santander Perú</v>
      </c>
      <c r="C72" s="4" t="str">
        <f>'Application Info'!C72</f>
        <v>Qlikview</v>
      </c>
      <c r="D72" s="3" t="str">
        <f>IF(C72='Application Info'!C72,'Application Info'!G72,"N/A")</f>
        <v>Local Country</v>
      </c>
      <c r="E72" s="3" t="str">
        <f>IF(C72='Application Info'!C72,'Application Info'!H72,"N/A")</f>
        <v>8. On-Premise</v>
      </c>
      <c r="F72" s="4" t="s">
        <v>51</v>
      </c>
      <c r="G72" s="4" t="s">
        <v>169</v>
      </c>
      <c r="H72" s="4" t="s">
        <v>196</v>
      </c>
      <c r="I72" s="4"/>
      <c r="J72" s="4" t="s">
        <v>156</v>
      </c>
      <c r="K72" s="4"/>
      <c r="L72" s="4"/>
      <c r="M72" s="4" t="s">
        <v>164</v>
      </c>
      <c r="N72" s="4" t="s">
        <v>110</v>
      </c>
      <c r="O72" s="4" t="s">
        <v>150</v>
      </c>
    </row>
    <row r="73" spans="1:15">
      <c r="A73" s="10"/>
      <c r="B73" s="3" t="str">
        <f>'Application Info'!B73</f>
        <v>Santander Perú</v>
      </c>
      <c r="C73" s="4" t="str">
        <f>'Application Info'!C73</f>
        <v>DATATEC</v>
      </c>
      <c r="D73" s="3" t="str">
        <f>IF(C73='Application Info'!C73,'Application Info'!G73,"N/A")</f>
        <v>AWS</v>
      </c>
      <c r="E73" s="3" t="str">
        <f>IF(C73='Application Info'!C73,'Application Info'!H73,"N/A")</f>
        <v>7.Vendor sit</v>
      </c>
      <c r="F73" s="4" t="s">
        <v>174</v>
      </c>
      <c r="G73" s="4" t="s">
        <v>169</v>
      </c>
      <c r="H73" s="4" t="s">
        <v>196</v>
      </c>
      <c r="I73" s="4"/>
      <c r="J73" s="4" t="s">
        <v>156</v>
      </c>
      <c r="K73" s="4"/>
      <c r="L73" s="4"/>
      <c r="M73" s="4" t="s">
        <v>172</v>
      </c>
      <c r="N73" s="4" t="s">
        <v>103</v>
      </c>
      <c r="O73" s="4" t="s">
        <v>150</v>
      </c>
    </row>
    <row r="74" spans="1:15">
      <c r="A74" s="10"/>
      <c r="B74" s="3" t="str">
        <f>'Application Info'!B74</f>
        <v>Santander Perú</v>
      </c>
      <c r="C74" s="4" t="str">
        <f>'Application Info'!C74</f>
        <v>Data Lakehouse Corporativo</v>
      </c>
      <c r="D74" s="3" t="str">
        <f>IF(C74='Application Info'!C74,'Application Info'!G74,"N/A")</f>
        <v>Local Country</v>
      </c>
      <c r="E74" s="3" t="str">
        <f>IF(C74='Application Info'!C74,'Application Info'!H74,"N/A")</f>
        <v>3. Hybrid cloud</v>
      </c>
      <c r="F74" s="4" t="s">
        <v>180</v>
      </c>
      <c r="G74" s="4" t="s">
        <v>161</v>
      </c>
      <c r="H74" s="4" t="s">
        <v>193</v>
      </c>
      <c r="I74" s="4"/>
      <c r="J74" s="4" t="s">
        <v>156</v>
      </c>
      <c r="K74" s="4"/>
      <c r="L74" s="4"/>
      <c r="M74" s="4" t="s">
        <v>172</v>
      </c>
      <c r="N74" s="4" t="s">
        <v>103</v>
      </c>
      <c r="O74" s="4" t="s">
        <v>166</v>
      </c>
    </row>
    <row r="75" spans="1:15">
      <c r="A75" s="10"/>
      <c r="B75" s="3" t="str">
        <f>'Application Info'!B75</f>
        <v>Santander Perú</v>
      </c>
      <c r="C75" s="4" t="str">
        <f>'Application Info'!C75</f>
        <v>Lista Negativa</v>
      </c>
      <c r="D75" s="3" t="str">
        <f>IF(C75='Application Info'!C75,'Application Info'!G75,"N/A")</f>
        <v>Local Country</v>
      </c>
      <c r="E75" s="3" t="str">
        <f>IF(C75='Application Info'!C75,'Application Info'!H75,"N/A")</f>
        <v>8. On-Premise</v>
      </c>
      <c r="F75" s="4" t="s">
        <v>160</v>
      </c>
      <c r="G75" s="4" t="s">
        <v>146</v>
      </c>
      <c r="H75" s="4" t="s">
        <v>196</v>
      </c>
      <c r="I75" s="4"/>
      <c r="J75" s="4" t="s">
        <v>156</v>
      </c>
      <c r="K75" s="4"/>
      <c r="L75" s="4"/>
      <c r="M75" s="4" t="s">
        <v>172</v>
      </c>
      <c r="N75" s="4" t="s">
        <v>110</v>
      </c>
      <c r="O75" s="4" t="s">
        <v>45</v>
      </c>
    </row>
    <row r="76" spans="1:15">
      <c r="A76" s="10"/>
      <c r="B76" s="3" t="str">
        <f>'Application Info'!B76</f>
        <v>Santander Perú</v>
      </c>
      <c r="C76" s="4" t="str">
        <f>'Application Info'!C76</f>
        <v>Reporte Helios</v>
      </c>
      <c r="D76" s="3" t="str">
        <f>IF(C76='Application Info'!C76,'Application Info'!G76,"N/A")</f>
        <v>Azure</v>
      </c>
      <c r="E76" s="3" t="str">
        <f>IF(C76='Application Info'!C76,'Application Info'!H76,"N/A")</f>
        <v>5. SaaS</v>
      </c>
      <c r="F76" s="4" t="s">
        <v>180</v>
      </c>
      <c r="G76" s="4" t="s">
        <v>153</v>
      </c>
      <c r="H76" s="4" t="s">
        <v>162</v>
      </c>
      <c r="I76" s="4"/>
      <c r="J76" s="4" t="s">
        <v>156</v>
      </c>
      <c r="K76" s="4"/>
      <c r="L76" s="4"/>
      <c r="M76" s="4" t="s">
        <v>172</v>
      </c>
      <c r="N76" s="4" t="s">
        <v>110</v>
      </c>
      <c r="O76" s="4" t="s">
        <v>51</v>
      </c>
    </row>
    <row r="77" spans="1:15">
      <c r="A77" s="10"/>
      <c r="B77" s="3" t="str">
        <f>'Application Info'!B77</f>
        <v>Santander Perú</v>
      </c>
      <c r="C77" s="4" t="str">
        <f>'Application Info'!C77</f>
        <v>WorldSys</v>
      </c>
      <c r="D77" s="3" t="str">
        <f>IF(C77='Application Info'!C77,'Application Info'!G77,"N/A")</f>
        <v>Local Country</v>
      </c>
      <c r="E77" s="3" t="str">
        <f>IF(C77='Application Info'!C77,'Application Info'!H77,"N/A")</f>
        <v>8. On-Premise</v>
      </c>
      <c r="F77" s="4" t="s">
        <v>180</v>
      </c>
      <c r="G77" s="4" t="s">
        <v>153</v>
      </c>
      <c r="H77" s="4" t="s">
        <v>162</v>
      </c>
      <c r="I77" s="4"/>
      <c r="J77" s="4" t="s">
        <v>156</v>
      </c>
      <c r="K77" s="4"/>
      <c r="L77" s="4"/>
      <c r="M77" s="4" t="s">
        <v>172</v>
      </c>
      <c r="N77" s="4" t="s">
        <v>103</v>
      </c>
      <c r="O77" s="4" t="s">
        <v>51</v>
      </c>
    </row>
    <row r="78" spans="1:15">
      <c r="A78" s="10"/>
      <c r="B78" s="3" t="str">
        <f>'Application Info'!B78</f>
        <v>Santander Perú</v>
      </c>
      <c r="C78" s="4" t="str">
        <f>'Application Info'!C78</f>
        <v>AMLUpdate - Name Screening</v>
      </c>
      <c r="D78" s="3" t="str">
        <f>IF(C78='Application Info'!C78,'Application Info'!G78,"N/A")</f>
        <v>Mexico</v>
      </c>
      <c r="E78" s="3" t="str">
        <f>IF(C78='Application Info'!C78,'Application Info'!H78,"N/A")</f>
        <v>5. SaaS</v>
      </c>
      <c r="F78" s="4" t="s">
        <v>174</v>
      </c>
      <c r="G78" s="4" t="s">
        <v>153</v>
      </c>
      <c r="H78" s="4" t="s">
        <v>200</v>
      </c>
      <c r="I78" s="4"/>
      <c r="J78" s="4" t="s">
        <v>156</v>
      </c>
      <c r="K78" s="4"/>
      <c r="L78" s="4"/>
      <c r="M78" s="4" t="s">
        <v>178</v>
      </c>
      <c r="N78" s="4" t="s">
        <v>103</v>
      </c>
      <c r="O78" s="4" t="s">
        <v>45</v>
      </c>
    </row>
    <row r="79" spans="1:15">
      <c r="A79" s="10"/>
      <c r="B79" s="3" t="str">
        <f>'Application Info'!B79</f>
        <v>Santander Perú</v>
      </c>
      <c r="C79" s="4" t="str">
        <f>'Application Info'!C79</f>
        <v>RatingPlus</v>
      </c>
      <c r="D79" s="3" t="str">
        <f>IF(C79='Application Info'!C79,'Application Info'!G79,"N/A")</f>
        <v>Mexico</v>
      </c>
      <c r="E79" s="3" t="str">
        <f>IF(C79='Application Info'!C79,'Application Info'!H79,"N/A")</f>
        <v>3. Hybrid cloud</v>
      </c>
      <c r="F79" s="4" t="s">
        <v>180</v>
      </c>
      <c r="G79" s="4" t="s">
        <v>153</v>
      </c>
      <c r="H79" s="4" t="s">
        <v>162</v>
      </c>
      <c r="I79" s="4"/>
      <c r="J79" s="4" t="s">
        <v>156</v>
      </c>
      <c r="K79" s="4"/>
      <c r="L79" s="4"/>
      <c r="M79" s="4" t="s">
        <v>178</v>
      </c>
      <c r="N79" s="4" t="s">
        <v>110</v>
      </c>
      <c r="O79" s="4" t="s">
        <v>51</v>
      </c>
    </row>
    <row r="80" spans="1:15">
      <c r="A80" s="10"/>
      <c r="B80" s="3" t="str">
        <f>'Application Info'!B80</f>
        <v>Santander Perú</v>
      </c>
      <c r="C80" s="4" t="str">
        <f>'Application Info'!C80</f>
        <v>Zapier</v>
      </c>
      <c r="D80" s="3">
        <f>IF(C80='Application Info'!C80,'Application Info'!G80,"N/A")</f>
        <v>0</v>
      </c>
      <c r="E80" s="3" t="str">
        <f>IF(C80='Application Info'!C80,'Application Info'!H80,"N/A")</f>
        <v>5. SaaS</v>
      </c>
      <c r="F80" s="4"/>
      <c r="G80" s="4" t="s">
        <v>153</v>
      </c>
      <c r="H80" s="4" t="s">
        <v>162</v>
      </c>
      <c r="I80" s="4"/>
      <c r="J80" s="4" t="s">
        <v>156</v>
      </c>
      <c r="K80" s="4"/>
      <c r="L80" s="4"/>
      <c r="M80" s="4" t="s">
        <v>45</v>
      </c>
      <c r="N80" s="4" t="s">
        <v>110</v>
      </c>
      <c r="O80" s="4" t="s">
        <v>51</v>
      </c>
    </row>
    <row r="81" spans="1:15">
      <c r="A81" s="10"/>
      <c r="B81" s="3" t="str">
        <f>'Application Info'!B81</f>
        <v>Santander Perú</v>
      </c>
      <c r="C81" s="4" t="str">
        <f>'Application Info'!C81</f>
        <v xml:space="preserve">SAP ByDesign </v>
      </c>
      <c r="D81" s="3" t="str">
        <f>IF(C81='Application Info'!C81,'Application Info'!G81,"N/A")</f>
        <v>US</v>
      </c>
      <c r="E81" s="3" t="str">
        <f>IF(C81='Application Info'!C81,'Application Info'!H81,"N/A")</f>
        <v>5. SaaS</v>
      </c>
      <c r="F81" s="4" t="s">
        <v>180</v>
      </c>
      <c r="G81" s="4" t="s">
        <v>45</v>
      </c>
      <c r="H81" s="4" t="s">
        <v>200</v>
      </c>
      <c r="I81" s="4"/>
      <c r="J81" s="4" t="s">
        <v>156</v>
      </c>
      <c r="K81" s="4"/>
      <c r="L81" s="4"/>
      <c r="M81" s="4" t="s">
        <v>178</v>
      </c>
      <c r="N81" s="4" t="s">
        <v>103</v>
      </c>
      <c r="O81" s="4" t="s">
        <v>51</v>
      </c>
    </row>
    <row r="82" spans="1:15">
      <c r="A82" s="10"/>
      <c r="B82" s="3" t="str">
        <f>'Application Info'!B82</f>
        <v>Santander Perú</v>
      </c>
      <c r="C82" s="4" t="str">
        <f>'Application Info'!C82</f>
        <v>Web Institucional</v>
      </c>
      <c r="D82" s="3" t="str">
        <f>IF(C82='Application Info'!C82,'Application Info'!G82,"N/A")</f>
        <v>Local Country</v>
      </c>
      <c r="E82" s="3" t="str">
        <f>IF(C82='Application Info'!C82,'Application Info'!H82,"N/A")</f>
        <v>3. Hybrid cloud</v>
      </c>
      <c r="F82" s="4" t="s">
        <v>180</v>
      </c>
      <c r="G82" s="4" t="s">
        <v>161</v>
      </c>
      <c r="H82" s="4" t="s">
        <v>196</v>
      </c>
      <c r="I82" s="4"/>
      <c r="J82" s="4" t="s">
        <v>156</v>
      </c>
      <c r="K82" s="4"/>
      <c r="L82" s="4"/>
      <c r="M82" s="4" t="s">
        <v>178</v>
      </c>
      <c r="N82" s="4" t="s">
        <v>103</v>
      </c>
      <c r="O82" s="4" t="s">
        <v>150</v>
      </c>
    </row>
    <row r="83" spans="1:15">
      <c r="A83" s="10"/>
      <c r="B83" s="3" t="str">
        <f>'Application Info'!B83</f>
        <v>Santander Perú</v>
      </c>
      <c r="C83" s="4" t="str">
        <f>'Application Info'!C83</f>
        <v>Motor TOP</v>
      </c>
      <c r="D83" s="3" t="str">
        <f>IF(C83='Application Info'!C83,'Application Info'!G83,"N/A")</f>
        <v>Local Country</v>
      </c>
      <c r="E83" s="3" t="str">
        <f>IF(C83='Application Info'!C83,'Application Info'!H83,"N/A")</f>
        <v>3. Hybrid cloud</v>
      </c>
      <c r="F83" s="4" t="s">
        <v>180</v>
      </c>
      <c r="G83" s="4" t="s">
        <v>153</v>
      </c>
      <c r="H83" s="4" t="s">
        <v>162</v>
      </c>
      <c r="I83" s="4"/>
      <c r="J83" s="4" t="s">
        <v>156</v>
      </c>
      <c r="K83" s="4"/>
      <c r="L83" s="4"/>
      <c r="M83" s="4" t="s">
        <v>172</v>
      </c>
      <c r="N83" s="4" t="s">
        <v>110</v>
      </c>
      <c r="O83" s="4" t="s">
        <v>51</v>
      </c>
    </row>
    <row r="84" spans="1:15">
      <c r="A84" s="10"/>
      <c r="B84" s="3" t="str">
        <f>'Application Info'!B84</f>
        <v>Santander Perú</v>
      </c>
      <c r="C84" s="4" t="str">
        <f>'Application Info'!C84</f>
        <v>Reporte Crediticio de Deudores</v>
      </c>
      <c r="D84" s="3" t="str">
        <f>IF(C84='Application Info'!C84,'Application Info'!G84,"N/A")</f>
        <v>Local Country</v>
      </c>
      <c r="E84" s="3" t="str">
        <f>IF(C84='Application Info'!C84,'Application Info'!H84,"N/A")</f>
        <v>6. Sharepoint</v>
      </c>
      <c r="F84" s="4" t="s">
        <v>180</v>
      </c>
      <c r="G84" s="4" t="s">
        <v>153</v>
      </c>
      <c r="H84" s="4" t="s">
        <v>162</v>
      </c>
      <c r="I84" s="4"/>
      <c r="J84" s="4" t="s">
        <v>156</v>
      </c>
      <c r="K84" s="4"/>
      <c r="L84" s="4"/>
      <c r="M84" s="4" t="s">
        <v>178</v>
      </c>
      <c r="N84" s="4" t="s">
        <v>103</v>
      </c>
      <c r="O84" s="4" t="s">
        <v>51</v>
      </c>
    </row>
    <row r="85" spans="1:15">
      <c r="A85" s="10"/>
      <c r="B85" s="3" t="str">
        <f>'Application Info'!B85</f>
        <v>Santander Perú</v>
      </c>
      <c r="C85" s="4" t="str">
        <f>'Application Info'!C85</f>
        <v>Nazca AS400</v>
      </c>
      <c r="D85" s="3" t="str">
        <f>IF(C85='Application Info'!C85,'Application Info'!G85,"N/A")</f>
        <v>Mexico</v>
      </c>
      <c r="E85" s="3" t="str">
        <f>IF(C85='Application Info'!C85,'Application Info'!H85,"N/A")</f>
        <v>3. Hybrid cloud</v>
      </c>
      <c r="F85" s="4" t="s">
        <v>152</v>
      </c>
      <c r="G85" s="4" t="s">
        <v>181</v>
      </c>
      <c r="H85" s="4" t="s">
        <v>170</v>
      </c>
      <c r="I85" s="4"/>
      <c r="J85" s="4" t="s">
        <v>156</v>
      </c>
      <c r="K85" s="4"/>
      <c r="L85" s="4"/>
      <c r="M85" s="4" t="s">
        <v>178</v>
      </c>
      <c r="N85" s="4" t="s">
        <v>103</v>
      </c>
      <c r="O85" s="4" t="s">
        <v>166</v>
      </c>
    </row>
    <row r="86" spans="1:15">
      <c r="A86" s="10"/>
      <c r="B86" s="3" t="str">
        <f>'Application Info'!B86</f>
        <v>Santander Perú</v>
      </c>
      <c r="C86" s="4" t="str">
        <f>'Application Info'!C86</f>
        <v>Genesys Cloud</v>
      </c>
      <c r="D86" s="3" t="str">
        <f>IF(C86='Application Info'!C86,'Application Info'!G86,"N/A")</f>
        <v>Azure</v>
      </c>
      <c r="E86" s="3" t="str">
        <f>IF(C86='Application Info'!C86,'Application Info'!H86,"N/A")</f>
        <v>5. SaaS</v>
      </c>
      <c r="F86" s="4" t="s">
        <v>51</v>
      </c>
      <c r="G86" s="4" t="s">
        <v>146</v>
      </c>
      <c r="H86" s="4" t="s">
        <v>193</v>
      </c>
      <c r="I86" s="4"/>
      <c r="J86" s="4" t="s">
        <v>156</v>
      </c>
      <c r="K86" s="4"/>
      <c r="L86" s="4"/>
      <c r="M86" s="4" t="s">
        <v>164</v>
      </c>
      <c r="N86" s="4" t="s">
        <v>165</v>
      </c>
      <c r="O86" s="4" t="s">
        <v>120</v>
      </c>
    </row>
    <row r="87" spans="1:15" hidden="1">
      <c r="A87" s="10"/>
      <c r="B87" s="3">
        <f>'Application Info'!B87</f>
        <v>0</v>
      </c>
      <c r="C87" s="4">
        <f>'Application Info'!C87</f>
        <v>0</v>
      </c>
      <c r="F87" s="4"/>
      <c r="G87" s="4"/>
      <c r="H87" s="4"/>
      <c r="I87" s="4"/>
      <c r="J87" s="4" t="s">
        <v>156</v>
      </c>
      <c r="K87" s="4"/>
      <c r="L87" s="4"/>
      <c r="M87" s="4"/>
      <c r="N87" s="4"/>
      <c r="O87" s="4"/>
    </row>
    <row r="88" spans="1:15" hidden="1">
      <c r="A88" s="10"/>
      <c r="B88" s="3">
        <f>'Application Info'!B88</f>
        <v>0</v>
      </c>
      <c r="C88" s="4">
        <f>'Application Info'!C88</f>
        <v>0</v>
      </c>
      <c r="F88" s="4"/>
      <c r="G88" s="4"/>
      <c r="H88" s="4"/>
      <c r="I88" s="4"/>
      <c r="J88" s="4" t="s">
        <v>156</v>
      </c>
      <c r="K88" s="4"/>
      <c r="L88" s="4"/>
      <c r="M88" s="4"/>
      <c r="N88" s="4"/>
      <c r="O88" s="4"/>
    </row>
    <row r="89" spans="1:15" hidden="1">
      <c r="A89" s="10"/>
      <c r="B89" s="3">
        <f>'Application Info'!B89</f>
        <v>0</v>
      </c>
      <c r="C89" s="4">
        <f>'Application Info'!C89</f>
        <v>0</v>
      </c>
      <c r="F89" s="4"/>
      <c r="G89" s="4"/>
      <c r="H89" s="4"/>
      <c r="I89" s="4"/>
      <c r="J89" s="4" t="s">
        <v>156</v>
      </c>
      <c r="K89" s="4"/>
      <c r="L89" s="4"/>
      <c r="M89" s="4"/>
      <c r="N89" s="4"/>
      <c r="O89" s="4"/>
    </row>
    <row r="90" spans="1:15" hidden="1">
      <c r="A90" s="10"/>
      <c r="B90" s="3">
        <f>'Application Info'!B90</f>
        <v>0</v>
      </c>
      <c r="C90" s="4">
        <f>'Application Info'!C90</f>
        <v>0</v>
      </c>
      <c r="F90" s="4"/>
      <c r="G90" s="4"/>
      <c r="H90" s="4"/>
      <c r="I90" s="4"/>
      <c r="J90" s="4" t="s">
        <v>156</v>
      </c>
      <c r="K90" s="4"/>
      <c r="L90" s="4"/>
      <c r="M90" s="4"/>
      <c r="N90" s="4"/>
      <c r="O90" s="4"/>
    </row>
    <row r="91" spans="1:15" hidden="1">
      <c r="A91" s="10"/>
      <c r="B91" s="3">
        <f>'Application Info'!B91</f>
        <v>0</v>
      </c>
      <c r="C91" s="4">
        <f>'Application Info'!C91</f>
        <v>0</v>
      </c>
      <c r="F91" s="4"/>
      <c r="G91" s="4"/>
      <c r="H91" s="4"/>
      <c r="I91" s="4"/>
      <c r="J91" s="4" t="s">
        <v>156</v>
      </c>
      <c r="K91" s="4"/>
      <c r="L91" s="4"/>
      <c r="M91" s="4"/>
      <c r="N91" s="4"/>
      <c r="O91" s="4"/>
    </row>
    <row r="92" spans="1:15" hidden="1">
      <c r="A92" s="10"/>
      <c r="B92" s="3">
        <f>'Application Info'!B92</f>
        <v>0</v>
      </c>
      <c r="C92" s="4">
        <f>'Application Info'!C92</f>
        <v>0</v>
      </c>
      <c r="F92" s="4"/>
      <c r="G92" s="4"/>
      <c r="H92" s="4"/>
      <c r="I92" s="4"/>
      <c r="J92" s="4" t="s">
        <v>156</v>
      </c>
      <c r="K92" s="4"/>
      <c r="L92" s="4"/>
      <c r="M92" s="4"/>
      <c r="N92" s="4"/>
      <c r="O92" s="4"/>
    </row>
    <row r="93" spans="1:15" hidden="1">
      <c r="A93" s="10"/>
      <c r="B93" s="3">
        <f>'Application Info'!B93</f>
        <v>0</v>
      </c>
      <c r="C93" s="4">
        <f>'Application Info'!C93</f>
        <v>0</v>
      </c>
      <c r="F93" s="4"/>
      <c r="G93" s="4"/>
      <c r="H93" s="4"/>
      <c r="I93" s="4"/>
      <c r="J93" s="4" t="s">
        <v>156</v>
      </c>
      <c r="K93" s="4"/>
      <c r="L93" s="4"/>
      <c r="M93" s="4"/>
      <c r="N93" s="4"/>
      <c r="O93" s="4"/>
    </row>
    <row r="94" spans="1:15" hidden="1">
      <c r="A94" s="10"/>
      <c r="B94" s="3">
        <f>'Application Info'!B94</f>
        <v>0</v>
      </c>
      <c r="C94" s="4">
        <f>'Application Info'!C94</f>
        <v>0</v>
      </c>
      <c r="F94" s="4"/>
      <c r="G94" s="4"/>
      <c r="H94" s="4"/>
      <c r="I94" s="4"/>
      <c r="J94" s="4" t="s">
        <v>156</v>
      </c>
      <c r="K94" s="4"/>
      <c r="L94" s="4"/>
      <c r="M94" s="4"/>
      <c r="N94" s="4"/>
      <c r="O94" s="4"/>
    </row>
    <row r="95" spans="1:15" hidden="1">
      <c r="A95" s="10"/>
      <c r="B95" s="3">
        <f>'Application Info'!B95</f>
        <v>0</v>
      </c>
      <c r="C95" s="4">
        <f>'Application Info'!C95</f>
        <v>0</v>
      </c>
      <c r="F95" s="4"/>
      <c r="G95" s="4"/>
      <c r="H95" s="4"/>
      <c r="I95" s="4"/>
      <c r="J95" s="4" t="s">
        <v>156</v>
      </c>
      <c r="K95" s="4"/>
      <c r="L95" s="4"/>
      <c r="M95" s="4"/>
      <c r="N95" s="4"/>
      <c r="O95" s="4"/>
    </row>
    <row r="96" spans="1:15" hidden="1">
      <c r="A96" s="10"/>
      <c r="B96" s="3">
        <f>'Application Info'!B96</f>
        <v>0</v>
      </c>
      <c r="C96" s="4">
        <f>'Application Info'!C96</f>
        <v>0</v>
      </c>
      <c r="F96" s="4"/>
      <c r="G96" s="4"/>
      <c r="H96" s="4"/>
      <c r="I96" s="4"/>
      <c r="J96" s="4" t="s">
        <v>156</v>
      </c>
      <c r="K96" s="4"/>
      <c r="L96" s="4"/>
      <c r="M96" s="4"/>
      <c r="N96" s="4"/>
      <c r="O96" s="4"/>
    </row>
    <row r="97" spans="1:15" hidden="1">
      <c r="A97" s="10"/>
      <c r="B97" s="3">
        <f>'Application Info'!B97</f>
        <v>0</v>
      </c>
      <c r="C97" s="4">
        <f>'Application Info'!C97</f>
        <v>0</v>
      </c>
      <c r="F97" s="4"/>
      <c r="G97" s="4"/>
      <c r="H97" s="4"/>
      <c r="I97" s="4"/>
      <c r="J97" s="4" t="s">
        <v>156</v>
      </c>
      <c r="K97" s="4"/>
      <c r="L97" s="4"/>
      <c r="M97" s="4"/>
      <c r="N97" s="4"/>
      <c r="O97" s="4"/>
    </row>
    <row r="98" spans="1:15" hidden="1">
      <c r="A98" s="10"/>
      <c r="B98" s="3">
        <f>'Application Info'!B98</f>
        <v>0</v>
      </c>
      <c r="C98" s="4">
        <f>'Application Info'!C98</f>
        <v>0</v>
      </c>
      <c r="F98" s="4"/>
      <c r="G98" s="4"/>
      <c r="H98" s="4"/>
      <c r="I98" s="4"/>
      <c r="J98" s="4" t="s">
        <v>156</v>
      </c>
      <c r="K98" s="4"/>
      <c r="L98" s="4"/>
      <c r="M98" s="4"/>
      <c r="N98" s="4"/>
      <c r="O98" s="4"/>
    </row>
    <row r="99" spans="1:15" hidden="1">
      <c r="A99" s="10"/>
      <c r="B99" s="3">
        <f>'Application Info'!B99</f>
        <v>0</v>
      </c>
      <c r="C99" s="4">
        <f>'Application Info'!C99</f>
        <v>0</v>
      </c>
      <c r="F99" s="4"/>
      <c r="G99" s="4"/>
      <c r="H99" s="4"/>
      <c r="I99" s="4"/>
      <c r="J99" s="4" t="s">
        <v>156</v>
      </c>
      <c r="K99" s="4"/>
      <c r="L99" s="4"/>
      <c r="M99" s="4"/>
      <c r="N99" s="4"/>
      <c r="O99" s="4"/>
    </row>
    <row r="100" spans="1:15" hidden="1">
      <c r="A100" s="10"/>
      <c r="B100" s="3">
        <f>'Application Info'!B100</f>
        <v>0</v>
      </c>
      <c r="C100" s="4">
        <f>'Application Info'!C100</f>
        <v>0</v>
      </c>
      <c r="F100" s="4"/>
      <c r="G100" s="4"/>
      <c r="H100" s="4"/>
      <c r="I100" s="4"/>
      <c r="J100" s="4" t="s">
        <v>156</v>
      </c>
      <c r="K100" s="4"/>
      <c r="L100" s="4"/>
      <c r="M100" s="4"/>
      <c r="N100" s="4"/>
      <c r="O100" s="4"/>
    </row>
    <row r="101" spans="1:15" hidden="1">
      <c r="A101" s="10"/>
      <c r="B101" s="3">
        <f>'Application Info'!B101</f>
        <v>0</v>
      </c>
      <c r="C101" s="4">
        <f>'Application Info'!C101</f>
        <v>0</v>
      </c>
    </row>
    <row r="102" spans="1:15">
      <c r="A102" s="10"/>
    </row>
    <row r="103" spans="1:15">
      <c r="A103" s="10"/>
    </row>
    <row r="104" spans="1:15">
      <c r="A104" s="10"/>
    </row>
    <row r="25000" spans="203:204">
      <c r="GU25000" s="3" t="s">
        <v>66</v>
      </c>
      <c r="GV25000" s="3">
        <v>1</v>
      </c>
    </row>
    <row r="64997" spans="252:252">
      <c r="IR64997" s="3" t="s">
        <v>67</v>
      </c>
    </row>
    <row r="64999" spans="252:252">
      <c r="IR64999" s="3" t="s">
        <v>67</v>
      </c>
    </row>
  </sheetData>
  <autoFilter ref="A1:IR101" xr:uid="{F9775F55-631F-49CA-918E-4D3E255D5C7D}">
    <filterColumn colId="6">
      <customFilters>
        <customFilter operator="notEqual" val=" "/>
      </customFilters>
    </filterColumn>
  </autoFilter>
  <dataValidations count="19">
    <dataValidation type="list" allowBlank="1" sqref="O101:O10000" xr:uid="{618C25BC-0521-4A73-801B-5AE825CE3A16}">
      <formula1>Pace_Layer</formula1>
    </dataValidation>
    <dataValidation type="list" allowBlank="1" sqref="N101:N10000" xr:uid="{2A54D6FF-B65F-4F9E-9FCC-256B96B0E106}">
      <formula1>Application_Complexity</formula1>
    </dataValidation>
    <dataValidation type="list" allowBlank="1" sqref="M101:M10000" xr:uid="{3E884AB0-AC1C-4147-B14D-CE5C08E0C720}">
      <formula1>Criticality_Interface</formula1>
    </dataValidation>
    <dataValidation type="list" allowBlank="1" sqref="J101:J10000" xr:uid="{E9968CFF-0BC9-4189-A094-B37EA4C41D55}">
      <formula1>Virtualisation_support</formula1>
    </dataValidation>
    <dataValidation type="list" allowBlank="1" sqref="I101:I10000" xr:uid="{A43ECC10-EF5C-4FC9-8F32-0F812F03E663}">
      <formula1>Application_Dev_Tech</formula1>
    </dataValidation>
    <dataValidation type="list" allowBlank="1" sqref="H101:H10000" xr:uid="{10DFB451-A458-4967-B182-8FB03CB8C94A}">
      <formula1>Integration_architecture</formula1>
    </dataValidation>
    <dataValidation type="list" allowBlank="1" sqref="G101:G10000" xr:uid="{9A839FE1-10D5-46E9-B51F-334F7A4DC0D0}">
      <formula1>Presentation_Layer</formula1>
    </dataValidation>
    <dataValidation type="list" allowBlank="1" sqref="F101:F10000" xr:uid="{BAD22DA8-9ED1-4809-A806-CCEC4067EC92}">
      <formula1>Architecture_Style</formula1>
    </dataValidation>
    <dataValidation type="list" allowBlank="1" sqref="F2:F100" xr:uid="{69BEC5A0-1314-45CE-8EC0-E8E9001D6338}">
      <formula1>$GD$2:$GD$10</formula1>
    </dataValidation>
    <dataValidation type="list" allowBlank="1" sqref="G2:G100" xr:uid="{A54172C3-8013-42C0-BF4A-67F13975864E}">
      <formula1>$GE$2:$GE$10</formula1>
    </dataValidation>
    <dataValidation type="list" allowBlank="1" sqref="H2:H100" xr:uid="{01E02A30-D093-4D19-8938-9D76D1A72EC6}">
      <formula1>$GF$2:$GF$15</formula1>
    </dataValidation>
    <dataValidation type="list" allowBlank="1" sqref="I2:I100" xr:uid="{9719BC51-A986-43A4-97FA-D8A9E01224B3}">
      <formula1>$GG$2:$GG$67</formula1>
    </dataValidation>
    <dataValidation type="list" allowBlank="1" sqref="J2:J100" xr:uid="{604E9553-B310-4D20-BB0B-CA2743A94FDE}">
      <formula1>$GH$2:$GH$5</formula1>
    </dataValidation>
    <dataValidation type="list" allowBlank="1" sqref="M2:M100" xr:uid="{B018A598-055E-48C5-8C95-24C6EF087E88}">
      <formula1>$GI$2:$GI$9</formula1>
    </dataValidation>
    <dataValidation type="list" allowBlank="1" sqref="N2:N100" xr:uid="{52D154B1-D588-478A-A7E0-F8C994AA1D50}">
      <formula1>$GJ$2:$GJ$6</formula1>
    </dataValidation>
    <dataValidation type="list" allowBlank="1" sqref="O2:O100" xr:uid="{19F8804F-DA93-4D9D-8DEF-36D77FB4F848}">
      <formula1>$GK$2:$GK$7</formula1>
    </dataValidation>
    <dataValidation type="list" allowBlank="1" sqref="E2:E86" xr:uid="{D2FD1E45-B81F-4FAA-8AC7-D5FA106A3D58}">
      <formula1>$GC$2:$GC$8</formula1>
    </dataValidation>
    <dataValidation type="list" allowBlank="1" sqref="D2:D9997" xr:uid="{4DF8F00C-7A30-44F7-8699-EBBC10B4FD7F}">
      <formula1>Region</formula1>
    </dataValidation>
    <dataValidation type="list" allowBlank="1" sqref="E87:E9997" xr:uid="{C89C03B8-901E-4C08-99A1-4363A6B996F5}">
      <formula1>Red_box</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90148-87F5-4F91-8AF4-8042469CBB08}">
  <sheetPr filterMode="1"/>
  <dimension ref="A1:IP65000"/>
  <sheetViews>
    <sheetView tabSelected="1" topLeftCell="B1" workbookViewId="0">
      <pane xSplit="2" ySplit="1" topLeftCell="D3" activePane="bottomRight" state="frozen"/>
      <selection activeCell="B1" sqref="B1"/>
      <selection pane="topRight" activeCell="D1" sqref="D1"/>
      <selection pane="bottomLeft" activeCell="B2" sqref="B2"/>
      <selection pane="bottomRight" activeCell="E106" sqref="E106"/>
    </sheetView>
  </sheetViews>
  <sheetFormatPr baseColWidth="10" defaultColWidth="8.4140625" defaultRowHeight="14.5"/>
  <cols>
    <col min="1" max="1" width="11" style="3" hidden="1" customWidth="1"/>
    <col min="2" max="3" width="25" style="3" customWidth="1"/>
    <col min="4" max="4" width="44.4140625" style="3" customWidth="1"/>
    <col min="5" max="6" width="25" style="3" customWidth="1"/>
    <col min="7" max="7" width="26.75" style="3" bestFit="1" customWidth="1"/>
    <col min="8" max="8" width="25" style="3" customWidth="1"/>
    <col min="9" max="9" width="16.4140625" style="3" customWidth="1"/>
    <col min="10" max="183" width="8.4140625" style="3"/>
    <col min="184" max="184" width="48.33203125" style="3" bestFit="1" customWidth="1"/>
    <col min="185" max="185" width="40.25" style="3" bestFit="1" customWidth="1"/>
    <col min="186" max="186" width="33.25" style="3" bestFit="1" customWidth="1"/>
    <col min="187" max="187" width="47.1640625" style="3" bestFit="1" customWidth="1"/>
    <col min="188" max="188" width="35.5" style="3" bestFit="1" customWidth="1"/>
    <col min="189" max="16384" width="8.4140625" style="3"/>
  </cols>
  <sheetData>
    <row r="1" spans="1:188">
      <c r="A1" s="1" t="s">
        <v>0</v>
      </c>
      <c r="B1" s="1" t="s">
        <v>1</v>
      </c>
      <c r="C1" s="2" t="s">
        <v>2</v>
      </c>
      <c r="D1" s="3" t="s">
        <v>245</v>
      </c>
      <c r="E1" s="3" t="s">
        <v>246</v>
      </c>
      <c r="F1" s="3" t="s">
        <v>247</v>
      </c>
      <c r="G1" s="3" t="s">
        <v>248</v>
      </c>
      <c r="H1" s="3" t="s">
        <v>249</v>
      </c>
      <c r="FY1" s="3" t="s">
        <v>16</v>
      </c>
      <c r="FZ1" s="3" t="s">
        <v>250</v>
      </c>
      <c r="GA1" s="3">
        <v>4</v>
      </c>
      <c r="GB1" s="3" t="s">
        <v>251</v>
      </c>
      <c r="GC1" s="3" t="s">
        <v>252</v>
      </c>
      <c r="GD1" s="3" t="s">
        <v>253</v>
      </c>
      <c r="GE1" s="3" t="s">
        <v>254</v>
      </c>
      <c r="GF1" s="3" t="s">
        <v>255</v>
      </c>
    </row>
    <row r="2" spans="1:188" hidden="1">
      <c r="A2" s="4"/>
      <c r="B2" s="3" t="str">
        <f>'Application Info'!B2</f>
        <v>Surgir</v>
      </c>
      <c r="C2" s="4" t="str">
        <f>'Application Info'!C2</f>
        <v>SAP by Design</v>
      </c>
      <c r="D2" s="4" t="s">
        <v>536</v>
      </c>
      <c r="E2" s="4" t="s">
        <v>493</v>
      </c>
      <c r="F2" s="4"/>
      <c r="G2" s="4"/>
      <c r="H2" s="4" t="s">
        <v>429</v>
      </c>
      <c r="FY2" s="3" t="s">
        <v>256</v>
      </c>
      <c r="GA2" s="3">
        <v>5</v>
      </c>
      <c r="GB2" s="3" t="s">
        <v>257</v>
      </c>
      <c r="GC2" s="3" t="s">
        <v>258</v>
      </c>
      <c r="GD2" s="3" t="s">
        <v>259</v>
      </c>
      <c r="GE2" s="3" t="s">
        <v>260</v>
      </c>
      <c r="GF2" s="3" t="s">
        <v>261</v>
      </c>
    </row>
    <row r="3" spans="1:188">
      <c r="B3" s="3" t="str">
        <f>'Application Info'!B3</f>
        <v>Surgir</v>
      </c>
      <c r="C3" s="4" t="str">
        <f>'Application Info'!C3</f>
        <v>App Surgir</v>
      </c>
      <c r="D3" s="4"/>
      <c r="E3" s="4"/>
      <c r="F3" s="4"/>
      <c r="G3" s="4"/>
      <c r="H3" s="4"/>
      <c r="FY3" s="3" t="s">
        <v>262</v>
      </c>
      <c r="GA3" s="3">
        <v>6</v>
      </c>
      <c r="GB3" s="3" t="s">
        <v>163</v>
      </c>
      <c r="GC3" s="3" t="s">
        <v>263</v>
      </c>
      <c r="GD3" s="3" t="s">
        <v>264</v>
      </c>
      <c r="GE3" s="3" t="s">
        <v>265</v>
      </c>
      <c r="GF3" s="3" t="s">
        <v>201</v>
      </c>
    </row>
    <row r="4" spans="1:188">
      <c r="B4" s="3" t="str">
        <f>'Application Info'!B4</f>
        <v>Surgir</v>
      </c>
      <c r="C4" s="4" t="str">
        <f>'Application Info'!C4</f>
        <v>App Cliente</v>
      </c>
      <c r="D4" s="4"/>
      <c r="E4" s="4"/>
      <c r="F4" s="4"/>
      <c r="G4" s="4"/>
      <c r="H4" s="4"/>
      <c r="FY4" s="3" t="s">
        <v>266</v>
      </c>
      <c r="GA4" s="3">
        <v>7</v>
      </c>
      <c r="GB4" s="3" t="s">
        <v>171</v>
      </c>
      <c r="GC4" s="3" t="s">
        <v>267</v>
      </c>
      <c r="GD4" s="3" t="s">
        <v>268</v>
      </c>
      <c r="GE4" s="3" t="s">
        <v>269</v>
      </c>
      <c r="GF4" s="3" t="s">
        <v>270</v>
      </c>
    </row>
    <row r="5" spans="1:188" hidden="1">
      <c r="A5" s="10"/>
      <c r="B5" s="3" t="str">
        <f>'Application Info'!B5</f>
        <v>Surgir</v>
      </c>
      <c r="C5" s="4" t="str">
        <f>'Application Info'!C5</f>
        <v>AMLUpdate - Name Screening</v>
      </c>
      <c r="D5" s="4"/>
      <c r="E5" s="4"/>
      <c r="F5" s="4"/>
      <c r="G5" s="4"/>
      <c r="H5" s="4"/>
      <c r="FY5" s="3" t="s">
        <v>271</v>
      </c>
      <c r="GA5" s="3">
        <v>8</v>
      </c>
      <c r="GB5" s="3" t="s">
        <v>177</v>
      </c>
      <c r="GC5" s="3" t="s">
        <v>272</v>
      </c>
      <c r="GD5" s="3" t="s">
        <v>273</v>
      </c>
      <c r="GE5" s="3" t="s">
        <v>274</v>
      </c>
      <c r="GF5" s="3" t="s">
        <v>275</v>
      </c>
    </row>
    <row r="6" spans="1:188" hidden="1">
      <c r="A6" s="10"/>
      <c r="B6" s="3" t="str">
        <f>'Application Info'!B6</f>
        <v>Surgir</v>
      </c>
      <c r="C6" s="4" t="str">
        <f>'Application Info'!C6</f>
        <v>Portal Web Público</v>
      </c>
      <c r="D6" s="4"/>
      <c r="E6" s="4"/>
      <c r="F6" s="4"/>
      <c r="G6" s="4"/>
      <c r="H6" s="4"/>
      <c r="FY6" s="3" t="s">
        <v>276</v>
      </c>
      <c r="GB6" s="3" t="s">
        <v>183</v>
      </c>
      <c r="GC6" s="3" t="s">
        <v>277</v>
      </c>
      <c r="GD6" s="3" t="s">
        <v>278</v>
      </c>
      <c r="GE6" s="3" t="s">
        <v>279</v>
      </c>
      <c r="GF6" s="3" t="s">
        <v>280</v>
      </c>
    </row>
    <row r="7" spans="1:188" hidden="1">
      <c r="A7" s="10"/>
      <c r="B7" s="3" t="str">
        <f>'Application Info'!B7</f>
        <v>Surgir</v>
      </c>
      <c r="C7" s="4" t="str">
        <f>'Application Info'!C7</f>
        <v>Anura</v>
      </c>
      <c r="D7" s="4"/>
      <c r="E7" s="4"/>
      <c r="F7" s="4"/>
      <c r="G7" s="4"/>
      <c r="H7" s="4"/>
      <c r="GB7" s="3" t="s">
        <v>187</v>
      </c>
      <c r="GC7" s="3" t="s">
        <v>281</v>
      </c>
      <c r="GD7" s="3" t="s">
        <v>282</v>
      </c>
      <c r="GE7" s="3" t="s">
        <v>283</v>
      </c>
      <c r="GF7" s="3" t="s">
        <v>284</v>
      </c>
    </row>
    <row r="8" spans="1:188" hidden="1">
      <c r="A8" s="10"/>
      <c r="B8" s="3" t="str">
        <f>'Application Info'!B8</f>
        <v>Surgir</v>
      </c>
      <c r="C8" s="4" t="str">
        <f>'Application Info'!C8</f>
        <v>ERP Contanet</v>
      </c>
      <c r="D8" s="4"/>
      <c r="E8" s="4"/>
      <c r="F8" s="4"/>
      <c r="G8" s="4"/>
      <c r="H8" s="4"/>
      <c r="GB8" s="3" t="s">
        <v>191</v>
      </c>
      <c r="GC8" s="3" t="s">
        <v>285</v>
      </c>
      <c r="GD8" s="3" t="s">
        <v>286</v>
      </c>
      <c r="GE8" s="3" t="s">
        <v>287</v>
      </c>
      <c r="GF8" s="3" t="s">
        <v>288</v>
      </c>
    </row>
    <row r="9" spans="1:188" hidden="1">
      <c r="A9" s="10"/>
      <c r="B9" s="3" t="str">
        <f>'Application Info'!B9</f>
        <v>Surgir</v>
      </c>
      <c r="C9" s="4" t="str">
        <f>'Application Info'!C9</f>
        <v>Datalake</v>
      </c>
      <c r="D9" s="4"/>
      <c r="E9" s="4"/>
      <c r="F9" s="4"/>
      <c r="G9" s="4"/>
      <c r="H9" s="4"/>
      <c r="GB9" s="3" t="s">
        <v>194</v>
      </c>
      <c r="GC9" s="3" t="s">
        <v>289</v>
      </c>
      <c r="GD9" s="3" t="s">
        <v>290</v>
      </c>
      <c r="GE9" s="3" t="s">
        <v>291</v>
      </c>
      <c r="GF9" s="3" t="s">
        <v>292</v>
      </c>
    </row>
    <row r="10" spans="1:188" hidden="1">
      <c r="A10" s="10"/>
      <c r="B10" s="3" t="str">
        <f>'Application Info'!B10</f>
        <v>Surgir</v>
      </c>
      <c r="C10" s="4" t="str">
        <f>'Application Info'!C10</f>
        <v>Cobis</v>
      </c>
      <c r="D10" s="4"/>
      <c r="E10" s="4"/>
      <c r="F10" s="4"/>
      <c r="G10" s="4"/>
      <c r="H10" s="4"/>
      <c r="GB10" s="3" t="s">
        <v>197</v>
      </c>
      <c r="GC10" s="3" t="s">
        <v>293</v>
      </c>
      <c r="GD10" s="3" t="s">
        <v>294</v>
      </c>
      <c r="GE10" s="3" t="s">
        <v>295</v>
      </c>
      <c r="GF10" s="3" t="s">
        <v>296</v>
      </c>
    </row>
    <row r="11" spans="1:188" hidden="1">
      <c r="A11" s="10"/>
      <c r="B11" s="3" t="str">
        <f>'Application Info'!B11</f>
        <v>Santander Fondos Colectivos</v>
      </c>
      <c r="C11" s="4" t="str">
        <f>'Application Info'!C11</f>
        <v>Emblue</v>
      </c>
      <c r="D11" s="4"/>
      <c r="E11" s="4"/>
      <c r="F11" s="4"/>
      <c r="G11" s="4"/>
      <c r="H11" s="4"/>
      <c r="GB11" s="3" t="s">
        <v>297</v>
      </c>
      <c r="GC11" s="3" t="s">
        <v>298</v>
      </c>
      <c r="GD11" s="3" t="s">
        <v>299</v>
      </c>
      <c r="GE11" s="3" t="s">
        <v>300</v>
      </c>
      <c r="GF11" s="3" t="s">
        <v>301</v>
      </c>
    </row>
    <row r="12" spans="1:188" hidden="1">
      <c r="A12" s="10"/>
      <c r="B12" s="3" t="str">
        <f>'Application Info'!B12</f>
        <v>Santander Fondos Colectivos</v>
      </c>
      <c r="C12" s="4" t="str">
        <f>'Application Info'!C12</f>
        <v>Facephi</v>
      </c>
      <c r="D12" s="4"/>
      <c r="E12" s="4"/>
      <c r="F12" s="4"/>
      <c r="G12" s="4"/>
      <c r="H12" s="4"/>
      <c r="GB12" s="3" t="s">
        <v>302</v>
      </c>
      <c r="GC12" s="3" t="s">
        <v>303</v>
      </c>
      <c r="GD12" s="3" t="s">
        <v>304</v>
      </c>
      <c r="GE12" s="3" t="s">
        <v>305</v>
      </c>
      <c r="GF12" s="3" t="s">
        <v>306</v>
      </c>
    </row>
    <row r="13" spans="1:188" hidden="1">
      <c r="A13" s="10"/>
      <c r="B13" s="3" t="str">
        <f>'Application Info'!B13</f>
        <v>Santander Fondos Colectivos</v>
      </c>
      <c r="C13" s="4" t="str">
        <f>'Application Info'!C13</f>
        <v>Mapfre</v>
      </c>
      <c r="D13" s="4"/>
      <c r="E13" s="4"/>
      <c r="F13" s="4"/>
      <c r="G13" s="4"/>
      <c r="H13" s="4"/>
      <c r="GB13" s="3" t="s">
        <v>307</v>
      </c>
      <c r="GC13" s="3" t="s">
        <v>308</v>
      </c>
      <c r="GD13" s="3" t="s">
        <v>309</v>
      </c>
      <c r="GE13" s="3" t="s">
        <v>310</v>
      </c>
      <c r="GF13" s="3" t="s">
        <v>311</v>
      </c>
    </row>
    <row r="14" spans="1:188" hidden="1">
      <c r="A14" s="10"/>
      <c r="B14" s="3" t="str">
        <f>'Application Info'!B14</f>
        <v>Santander Fondos Colectivos</v>
      </c>
      <c r="C14" s="4" t="str">
        <f>'Application Info'!C14</f>
        <v>Tracklink</v>
      </c>
      <c r="D14" s="4"/>
      <c r="E14" s="4"/>
      <c r="F14" s="4"/>
      <c r="G14" s="4"/>
      <c r="H14" s="4"/>
      <c r="GB14" s="3" t="s">
        <v>312</v>
      </c>
      <c r="GC14" s="3" t="s">
        <v>313</v>
      </c>
      <c r="GD14" s="3" t="s">
        <v>314</v>
      </c>
      <c r="GE14" s="3" t="s">
        <v>315</v>
      </c>
      <c r="GF14" s="3" t="s">
        <v>316</v>
      </c>
    </row>
    <row r="15" spans="1:188" hidden="1">
      <c r="A15" s="10"/>
      <c r="B15" s="3" t="str">
        <f>'Application Info'!B15</f>
        <v>Santander Fondos Colectivos</v>
      </c>
      <c r="C15" s="4" t="str">
        <f>'Application Info'!C15</f>
        <v>Docuclass</v>
      </c>
      <c r="D15" s="4"/>
      <c r="E15" s="4"/>
      <c r="F15" s="4"/>
      <c r="G15" s="4"/>
      <c r="H15" s="4"/>
      <c r="GB15" s="3" t="s">
        <v>317</v>
      </c>
      <c r="GC15" s="3" t="s">
        <v>318</v>
      </c>
      <c r="GD15" s="3" t="s">
        <v>51</v>
      </c>
      <c r="GE15" s="3" t="s">
        <v>319</v>
      </c>
      <c r="GF15" s="3" t="s">
        <v>320</v>
      </c>
    </row>
    <row r="16" spans="1:188" hidden="1">
      <c r="A16" s="10"/>
      <c r="B16" s="3" t="str">
        <f>'Application Info'!B16</f>
        <v>Santander Fondos Colectivos</v>
      </c>
      <c r="C16" s="4" t="str">
        <f>'Application Info'!C16</f>
        <v>Diloo</v>
      </c>
      <c r="D16" s="4"/>
      <c r="E16" s="4"/>
      <c r="F16" s="4"/>
      <c r="G16" s="4"/>
      <c r="H16" s="4"/>
      <c r="GB16" s="3" t="s">
        <v>203</v>
      </c>
      <c r="GC16" s="3" t="s">
        <v>321</v>
      </c>
      <c r="GD16" s="3" t="s">
        <v>322</v>
      </c>
      <c r="GE16" s="3" t="s">
        <v>323</v>
      </c>
      <c r="GF16" s="3" t="s">
        <v>324</v>
      </c>
    </row>
    <row r="17" spans="1:188" hidden="1">
      <c r="A17" s="10"/>
      <c r="B17" s="3" t="str">
        <f>'Application Info'!B17</f>
        <v>Santander Fondos Colectivos</v>
      </c>
      <c r="C17" s="4" t="str">
        <f>'Application Info'!C17</f>
        <v>Izipay Pagos en línea</v>
      </c>
      <c r="D17" s="4"/>
      <c r="E17" s="4"/>
      <c r="F17" s="4"/>
      <c r="G17" s="4"/>
      <c r="H17" s="4"/>
      <c r="GB17" s="3" t="s">
        <v>204</v>
      </c>
      <c r="GC17" s="3" t="s">
        <v>325</v>
      </c>
      <c r="GD17" s="3" t="s">
        <v>326</v>
      </c>
      <c r="GE17" s="3" t="s">
        <v>327</v>
      </c>
      <c r="GF17" s="3" t="s">
        <v>328</v>
      </c>
    </row>
    <row r="18" spans="1:188" hidden="1">
      <c r="A18" s="10"/>
      <c r="B18" s="3" t="str">
        <f>'Application Info'!B18</f>
        <v>Santander Fondos Colectivos</v>
      </c>
      <c r="C18" s="4" t="str">
        <f>'Application Info'!C18</f>
        <v>IBK Recaudación</v>
      </c>
      <c r="D18" s="4"/>
      <c r="E18" s="4"/>
      <c r="F18" s="4"/>
      <c r="G18" s="4"/>
      <c r="H18" s="4"/>
      <c r="GB18" s="3" t="s">
        <v>329</v>
      </c>
      <c r="GC18" s="3" t="s">
        <v>330</v>
      </c>
      <c r="GD18" s="3" t="s">
        <v>331</v>
      </c>
      <c r="GE18" s="3" t="s">
        <v>332</v>
      </c>
      <c r="GF18" s="3" t="s">
        <v>333</v>
      </c>
    </row>
    <row r="19" spans="1:188" hidden="1">
      <c r="A19" s="10"/>
      <c r="B19" s="3" t="str">
        <f>'Application Info'!B19</f>
        <v>Santander Fondos Colectivos</v>
      </c>
      <c r="C19" s="4" t="str">
        <f>'Application Info'!C19</f>
        <v>SAP by Design</v>
      </c>
      <c r="D19" s="4" t="s">
        <v>536</v>
      </c>
      <c r="E19" s="4" t="s">
        <v>493</v>
      </c>
      <c r="F19" s="4"/>
      <c r="G19" s="4"/>
      <c r="H19" s="4" t="s">
        <v>429</v>
      </c>
      <c r="GB19" s="3" t="s">
        <v>334</v>
      </c>
      <c r="GC19" s="3" t="s">
        <v>335</v>
      </c>
      <c r="GD19" s="3" t="s">
        <v>336</v>
      </c>
      <c r="GE19" s="3" t="s">
        <v>337</v>
      </c>
      <c r="GF19" s="3" t="s">
        <v>338</v>
      </c>
    </row>
    <row r="20" spans="1:188" hidden="1">
      <c r="A20" s="10"/>
      <c r="B20" s="3" t="str">
        <f>'Application Info'!B20</f>
        <v>Santander Fondos Colectivos</v>
      </c>
      <c r="C20" s="4" t="str">
        <f>'Application Info'!C20</f>
        <v>Portal Web Público</v>
      </c>
      <c r="D20" s="4"/>
      <c r="E20" s="4"/>
      <c r="F20" s="4"/>
      <c r="G20" s="4"/>
      <c r="H20" s="4"/>
      <c r="GB20" s="3" t="s">
        <v>339</v>
      </c>
      <c r="GC20" s="3" t="s">
        <v>340</v>
      </c>
      <c r="GD20" s="3" t="s">
        <v>341</v>
      </c>
      <c r="GE20" s="3" t="s">
        <v>342</v>
      </c>
      <c r="GF20" s="3" t="s">
        <v>343</v>
      </c>
    </row>
    <row r="21" spans="1:188" hidden="1">
      <c r="A21" s="10"/>
      <c r="B21" s="3" t="str">
        <f>'Application Info'!B21</f>
        <v>Santander Fondos Colectivos</v>
      </c>
      <c r="C21" s="4" t="str">
        <f>'Application Info'!C21</f>
        <v>AMLUpdate - Name Screening</v>
      </c>
      <c r="D21" s="4"/>
      <c r="E21" s="4"/>
      <c r="F21" s="4"/>
      <c r="G21" s="4"/>
      <c r="H21" s="4"/>
      <c r="GB21" s="3" t="s">
        <v>344</v>
      </c>
      <c r="GC21" s="3" t="s">
        <v>345</v>
      </c>
      <c r="GD21" s="3" t="s">
        <v>346</v>
      </c>
      <c r="GE21" s="3" t="s">
        <v>347</v>
      </c>
      <c r="GF21" s="3" t="s">
        <v>348</v>
      </c>
    </row>
    <row r="22" spans="1:188" hidden="1">
      <c r="A22" s="10"/>
      <c r="B22" s="3" t="str">
        <f>'Application Info'!B22</f>
        <v>Santander Fondos Colectivos</v>
      </c>
      <c r="C22" s="4" t="str">
        <f>'Application Info'!C22</f>
        <v>Santo</v>
      </c>
      <c r="D22" s="4"/>
      <c r="E22" s="4"/>
      <c r="F22" s="4"/>
      <c r="G22" s="4"/>
      <c r="H22" s="4"/>
      <c r="GB22" s="3" t="s">
        <v>349</v>
      </c>
      <c r="GC22" s="3" t="s">
        <v>350</v>
      </c>
      <c r="GD22" s="3" t="s">
        <v>351</v>
      </c>
      <c r="GE22" s="3" t="s">
        <v>352</v>
      </c>
      <c r="GF22" s="3" t="s">
        <v>353</v>
      </c>
    </row>
    <row r="23" spans="1:188" hidden="1">
      <c r="A23" s="10"/>
      <c r="B23" s="3" t="str">
        <f>'Application Info'!B23</f>
        <v>SCIB Perú</v>
      </c>
      <c r="C23" s="4" t="str">
        <f>'Application Info'!C23</f>
        <v>Nuevo Office Banking</v>
      </c>
      <c r="D23" s="4"/>
      <c r="E23" s="4"/>
      <c r="F23" s="4"/>
      <c r="G23" s="4"/>
      <c r="H23" s="4"/>
      <c r="GB23" s="3" t="s">
        <v>354</v>
      </c>
      <c r="GC23" s="3" t="s">
        <v>355</v>
      </c>
      <c r="GD23" s="3" t="s">
        <v>356</v>
      </c>
      <c r="GE23" s="3" t="s">
        <v>357</v>
      </c>
      <c r="GF23" s="3" t="s">
        <v>51</v>
      </c>
    </row>
    <row r="24" spans="1:188">
      <c r="A24" s="10"/>
      <c r="B24" s="3" t="str">
        <f>'Application Info'!B24</f>
        <v>SCIB Perú</v>
      </c>
      <c r="C24" s="4" t="str">
        <f>'Application Info'!C24</f>
        <v>CEEFFC</v>
      </c>
      <c r="D24" s="4"/>
      <c r="E24" s="4"/>
      <c r="F24" s="4"/>
      <c r="G24" s="4"/>
      <c r="H24" s="4"/>
      <c r="GB24" s="3" t="s">
        <v>358</v>
      </c>
      <c r="GC24" s="3" t="s">
        <v>359</v>
      </c>
      <c r="GD24" s="3" t="s">
        <v>360</v>
      </c>
      <c r="GE24" s="3" t="s">
        <v>361</v>
      </c>
      <c r="GF24" s="3" t="s">
        <v>362</v>
      </c>
    </row>
    <row r="25" spans="1:188" hidden="1">
      <c r="A25" s="10"/>
      <c r="B25" s="3" t="str">
        <f>'Application Info'!B25</f>
        <v>SCIB Perú</v>
      </c>
      <c r="C25" s="4" t="str">
        <f>'Application Info'!C25</f>
        <v>Lbtr</v>
      </c>
      <c r="D25" s="4"/>
      <c r="E25" s="4"/>
      <c r="F25" s="4"/>
      <c r="G25" s="4"/>
      <c r="H25" s="4"/>
      <c r="GB25" s="3" t="s">
        <v>363</v>
      </c>
      <c r="GC25" s="3" t="s">
        <v>45</v>
      </c>
      <c r="GD25" s="3" t="s">
        <v>364</v>
      </c>
      <c r="GE25" s="3" t="s">
        <v>120</v>
      </c>
      <c r="GF25" s="3" t="s">
        <v>365</v>
      </c>
    </row>
    <row r="26" spans="1:188">
      <c r="A26" s="10"/>
      <c r="B26" s="3" t="str">
        <f>'Application Info'!B26</f>
        <v>SCIB Perú</v>
      </c>
      <c r="C26" s="4" t="str">
        <f>'Application Info'!C26</f>
        <v>Cash Nexus</v>
      </c>
      <c r="D26" s="4"/>
      <c r="E26" s="4"/>
      <c r="F26" s="4"/>
      <c r="G26" s="4"/>
      <c r="H26" s="4"/>
      <c r="GB26" s="3" t="s">
        <v>366</v>
      </c>
      <c r="GC26" s="3" t="s">
        <v>51</v>
      </c>
      <c r="GD26" s="3" t="s">
        <v>367</v>
      </c>
      <c r="GE26" s="3" t="s">
        <v>51</v>
      </c>
      <c r="GF26" s="3" t="s">
        <v>368</v>
      </c>
    </row>
    <row r="27" spans="1:188" hidden="1">
      <c r="A27" s="10"/>
      <c r="B27" s="3" t="str">
        <f>'Application Info'!B27</f>
        <v>SCIB Perú</v>
      </c>
      <c r="C27" s="4" t="str">
        <f>'Application Info'!C27</f>
        <v>Host to Host</v>
      </c>
      <c r="D27" s="4"/>
      <c r="E27" s="4"/>
      <c r="F27" s="4"/>
      <c r="G27" s="4"/>
      <c r="H27" s="4"/>
      <c r="GB27" s="3" t="s">
        <v>369</v>
      </c>
      <c r="GC27" s="3" t="s">
        <v>370</v>
      </c>
      <c r="GD27" s="3" t="s">
        <v>371</v>
      </c>
      <c r="GE27" s="3" t="s">
        <v>372</v>
      </c>
      <c r="GF27" s="3" t="s">
        <v>373</v>
      </c>
    </row>
    <row r="28" spans="1:188" hidden="1">
      <c r="A28" s="10"/>
      <c r="B28" s="3" t="str">
        <f>'Application Info'!B28</f>
        <v>SCIB Perú</v>
      </c>
      <c r="C28" s="4" t="str">
        <f>'Application Info'!C28</f>
        <v>Sistema Office Banking</v>
      </c>
      <c r="D28" s="4"/>
      <c r="E28" s="4"/>
      <c r="F28" s="4"/>
      <c r="G28" s="4"/>
      <c r="H28" s="4"/>
      <c r="GB28" s="3" t="s">
        <v>374</v>
      </c>
      <c r="GC28" s="3" t="s">
        <v>375</v>
      </c>
      <c r="GD28" s="3" t="s">
        <v>376</v>
      </c>
      <c r="GE28" s="3" t="s">
        <v>377</v>
      </c>
      <c r="GF28" s="3" t="s">
        <v>378</v>
      </c>
    </row>
    <row r="29" spans="1:188" hidden="1">
      <c r="A29" s="10"/>
      <c r="B29" s="3" t="str">
        <f>'Application Info'!B29</f>
        <v>Santander Consumer Perú</v>
      </c>
      <c r="C29" s="4" t="str">
        <f>'Application Info'!C29</f>
        <v>Diloo</v>
      </c>
      <c r="D29" s="4"/>
      <c r="E29" s="4"/>
      <c r="F29" s="4"/>
      <c r="G29" s="4"/>
      <c r="H29" s="4"/>
      <c r="GB29" s="3" t="s">
        <v>379</v>
      </c>
      <c r="GC29" s="3" t="s">
        <v>380</v>
      </c>
      <c r="GD29" s="3" t="s">
        <v>381</v>
      </c>
      <c r="GE29" s="3" t="s">
        <v>382</v>
      </c>
      <c r="GF29" s="3" t="s">
        <v>383</v>
      </c>
    </row>
    <row r="30" spans="1:188" hidden="1">
      <c r="A30" s="10"/>
      <c r="B30" s="3" t="str">
        <f>'Application Info'!B30</f>
        <v>Santander Consumer Perú</v>
      </c>
      <c r="C30" s="4" t="str">
        <f>'Application Info'!C30</f>
        <v>Plataforma de Facturacion Electronica</v>
      </c>
      <c r="D30" s="4"/>
      <c r="E30" s="4"/>
      <c r="F30" s="4"/>
      <c r="G30" s="4"/>
      <c r="H30" s="4"/>
      <c r="GB30" s="3" t="s">
        <v>384</v>
      </c>
      <c r="GC30" s="3" t="s">
        <v>385</v>
      </c>
      <c r="GD30" s="3" t="s">
        <v>45</v>
      </c>
      <c r="GE30" s="3" t="s">
        <v>386</v>
      </c>
      <c r="GF30" s="3" t="s">
        <v>387</v>
      </c>
    </row>
    <row r="31" spans="1:188" hidden="1">
      <c r="A31" s="10"/>
      <c r="B31" s="3" t="str">
        <f>'Application Info'!B31</f>
        <v>Santander Consumer Perú</v>
      </c>
      <c r="C31" s="4" t="str">
        <f>'Application Info'!C31</f>
        <v>Contáctanos</v>
      </c>
      <c r="D31" s="4"/>
      <c r="E31" s="4"/>
      <c r="F31" s="4"/>
      <c r="G31" s="4"/>
      <c r="H31" s="4"/>
      <c r="GB31" s="3" t="s">
        <v>388</v>
      </c>
      <c r="GC31" s="3" t="s">
        <v>389</v>
      </c>
      <c r="GD31" s="3" t="s">
        <v>390</v>
      </c>
      <c r="GE31" s="3" t="s">
        <v>45</v>
      </c>
      <c r="GF31" s="3" t="s">
        <v>391</v>
      </c>
    </row>
    <row r="32" spans="1:188" hidden="1">
      <c r="A32" s="10"/>
      <c r="B32" s="3" t="str">
        <f>'Application Info'!B32</f>
        <v>Santander Consumer Perú</v>
      </c>
      <c r="C32" s="4" t="str">
        <f>'Application Info'!C32</f>
        <v>Visor Cobranzas</v>
      </c>
      <c r="D32" s="4"/>
      <c r="E32" s="4"/>
      <c r="F32" s="4"/>
      <c r="G32" s="4"/>
      <c r="H32" s="4"/>
      <c r="GB32" s="3" t="s">
        <v>392</v>
      </c>
      <c r="GC32" s="3" t="s">
        <v>393</v>
      </c>
      <c r="GD32" s="3" t="s">
        <v>394</v>
      </c>
      <c r="GE32" s="3" t="s">
        <v>395</v>
      </c>
      <c r="GF32" s="3" t="s">
        <v>396</v>
      </c>
    </row>
    <row r="33" spans="1:188" hidden="1">
      <c r="A33" s="10"/>
      <c r="B33" s="3" t="str">
        <f>'Application Info'!B33</f>
        <v>Santander Consumer Perú</v>
      </c>
      <c r="C33" s="4" t="str">
        <f>'Application Info'!C33</f>
        <v>Api Market</v>
      </c>
      <c r="D33" s="4" t="s">
        <v>426</v>
      </c>
      <c r="E33" s="4"/>
      <c r="F33" s="4" t="s">
        <v>530</v>
      </c>
      <c r="G33" s="4" t="s">
        <v>415</v>
      </c>
      <c r="H33" s="4"/>
      <c r="GB33" s="3" t="s">
        <v>397</v>
      </c>
      <c r="GC33" s="3" t="s">
        <v>398</v>
      </c>
      <c r="GD33" s="3" t="s">
        <v>399</v>
      </c>
      <c r="GE33" s="3" t="s">
        <v>400</v>
      </c>
      <c r="GF33" s="3" t="s">
        <v>401</v>
      </c>
    </row>
    <row r="34" spans="1:188" hidden="1">
      <c r="A34" s="10"/>
      <c r="B34" s="3" t="str">
        <f>'Application Info'!B34</f>
        <v>Santander Consumer Perú</v>
      </c>
      <c r="C34" s="4" t="str">
        <f>'Application Info'!C34</f>
        <v>AMLUpdate - Name Screening</v>
      </c>
      <c r="D34" s="4"/>
      <c r="E34" s="4"/>
      <c r="F34" s="4"/>
      <c r="G34" s="4"/>
      <c r="H34" s="4"/>
      <c r="GB34" s="3" t="s">
        <v>402</v>
      </c>
      <c r="GC34" s="3" t="s">
        <v>403</v>
      </c>
      <c r="GD34" s="3" t="s">
        <v>404</v>
      </c>
      <c r="GE34" s="3" t="s">
        <v>405</v>
      </c>
      <c r="GF34" s="3" t="s">
        <v>406</v>
      </c>
    </row>
    <row r="35" spans="1:188" hidden="1">
      <c r="A35" s="10"/>
      <c r="B35" s="3" t="str">
        <f>'Application Info'!B35</f>
        <v>Santander Consumer Perú</v>
      </c>
      <c r="C35" s="4" t="str">
        <f>'Application Info'!C35</f>
        <v>Facturación Electrónica - Auto</v>
      </c>
      <c r="D35" s="4"/>
      <c r="E35" s="4"/>
      <c r="F35" s="4"/>
      <c r="G35" s="4"/>
      <c r="H35" s="4"/>
      <c r="GB35" s="3" t="s">
        <v>407</v>
      </c>
      <c r="GC35" s="3" t="s">
        <v>408</v>
      </c>
      <c r="GD35" s="3" t="s">
        <v>409</v>
      </c>
      <c r="GE35" s="3" t="s">
        <v>410</v>
      </c>
      <c r="GF35" s="3" t="s">
        <v>411</v>
      </c>
    </row>
    <row r="36" spans="1:188" hidden="1">
      <c r="A36" s="10"/>
      <c r="B36" s="3" t="str">
        <f>'Application Info'!B36</f>
        <v>Santander Consumer Perú</v>
      </c>
      <c r="C36" s="4" t="str">
        <f>'Application Info'!C36</f>
        <v>Portal Web Público</v>
      </c>
      <c r="D36" s="4"/>
      <c r="E36" s="4"/>
      <c r="F36" s="4"/>
      <c r="G36" s="4"/>
      <c r="H36" s="4"/>
      <c r="GB36" s="3" t="s">
        <v>412</v>
      </c>
      <c r="GC36" s="3" t="s">
        <v>413</v>
      </c>
      <c r="GD36" s="3" t="s">
        <v>414</v>
      </c>
      <c r="GE36" s="3" t="s">
        <v>415</v>
      </c>
      <c r="GF36" s="3" t="s">
        <v>416</v>
      </c>
    </row>
    <row r="37" spans="1:188" hidden="1">
      <c r="A37" s="10"/>
      <c r="B37" s="3" t="str">
        <f>'Application Info'!B37</f>
        <v>Santander Consumer Perú</v>
      </c>
      <c r="C37" s="4" t="str">
        <f>'Application Info'!C37</f>
        <v>SAP ByDesign - ERP</v>
      </c>
      <c r="D37" s="4" t="s">
        <v>536</v>
      </c>
      <c r="E37" s="4" t="s">
        <v>493</v>
      </c>
      <c r="F37" s="4"/>
      <c r="G37" s="4"/>
      <c r="H37" s="4" t="s">
        <v>429</v>
      </c>
      <c r="GB37" s="3" t="s">
        <v>417</v>
      </c>
      <c r="GC37" s="3" t="s">
        <v>418</v>
      </c>
      <c r="GD37" s="3" t="s">
        <v>419</v>
      </c>
      <c r="GE37" s="3" t="s">
        <v>420</v>
      </c>
      <c r="GF37" s="3" t="s">
        <v>120</v>
      </c>
    </row>
    <row r="38" spans="1:188">
      <c r="A38" s="10"/>
      <c r="B38" s="3" t="str">
        <f>'Application Info'!B38</f>
        <v>Santander Consumer Perú</v>
      </c>
      <c r="C38" s="4" t="str">
        <f>'Application Info'!C38</f>
        <v>Bantotal - Core Bancario</v>
      </c>
      <c r="D38" s="4" t="s">
        <v>45</v>
      </c>
      <c r="E38" s="4" t="s">
        <v>493</v>
      </c>
      <c r="F38" s="4" t="s">
        <v>530</v>
      </c>
      <c r="G38" s="4" t="s">
        <v>347</v>
      </c>
      <c r="H38" s="4" t="s">
        <v>45</v>
      </c>
      <c r="GB38" s="3" t="s">
        <v>421</v>
      </c>
      <c r="GC38" s="3" t="s">
        <v>422</v>
      </c>
      <c r="GD38" s="3" t="s">
        <v>423</v>
      </c>
      <c r="GE38" s="3" t="s">
        <v>424</v>
      </c>
      <c r="GF38" s="3" t="s">
        <v>425</v>
      </c>
    </row>
    <row r="39" spans="1:188" hidden="1">
      <c r="A39" s="10"/>
      <c r="B39" s="3" t="str">
        <f>'Application Info'!B39</f>
        <v>Santander Consumer Perú</v>
      </c>
      <c r="C39" s="4" t="str">
        <f>'Application Info'!C39</f>
        <v>Motor de Crédito</v>
      </c>
      <c r="D39" s="4"/>
      <c r="E39" s="4"/>
      <c r="F39" s="4"/>
      <c r="G39" s="4"/>
      <c r="H39" s="4"/>
      <c r="GB39" s="3" t="s">
        <v>426</v>
      </c>
      <c r="GC39" s="3" t="s">
        <v>427</v>
      </c>
      <c r="GD39" s="3" t="s">
        <v>428</v>
      </c>
      <c r="GF39" s="3" t="s">
        <v>429</v>
      </c>
    </row>
    <row r="40" spans="1:188" hidden="1">
      <c r="A40" s="10"/>
      <c r="B40" s="3" t="str">
        <f>'Application Info'!B40</f>
        <v>Santander Consumer Perú</v>
      </c>
      <c r="C40" s="4" t="str">
        <f>'Application Info'!C40</f>
        <v>Santi</v>
      </c>
      <c r="D40" s="4"/>
      <c r="E40" s="4"/>
      <c r="F40" s="4"/>
      <c r="G40" s="4"/>
      <c r="H40" s="4"/>
      <c r="GB40" s="3" t="s">
        <v>430</v>
      </c>
      <c r="GC40" s="3" t="s">
        <v>431</v>
      </c>
      <c r="GD40" s="3" t="s">
        <v>432</v>
      </c>
      <c r="GF40" s="3" t="s">
        <v>45</v>
      </c>
    </row>
    <row r="41" spans="1:188" hidden="1">
      <c r="A41" s="10"/>
      <c r="B41" s="3" t="str">
        <f>'Application Info'!B41</f>
        <v>Santander Consumer Perú</v>
      </c>
      <c r="C41" s="4" t="str">
        <f>'Application Info'!C41</f>
        <v>Seguros La Positiva</v>
      </c>
      <c r="D41" s="4"/>
      <c r="E41" s="4"/>
      <c r="F41" s="4"/>
      <c r="G41" s="4"/>
      <c r="H41" s="4"/>
      <c r="GB41" s="3" t="s">
        <v>433</v>
      </c>
      <c r="GC41" s="3" t="s">
        <v>434</v>
      </c>
      <c r="GD41" s="3" t="s">
        <v>435</v>
      </c>
      <c r="GF41" s="3" t="s">
        <v>436</v>
      </c>
    </row>
    <row r="42" spans="1:188" hidden="1">
      <c r="A42" s="10"/>
      <c r="B42" s="3" t="str">
        <f>'Application Info'!B42</f>
        <v>Santander Consumer Perú</v>
      </c>
      <c r="C42" s="4" t="str">
        <f>'Application Info'!C42</f>
        <v>Equifax</v>
      </c>
      <c r="D42" s="4"/>
      <c r="E42" s="4"/>
      <c r="F42" s="4"/>
      <c r="G42" s="4"/>
      <c r="H42" s="4"/>
      <c r="GB42" s="3" t="s">
        <v>437</v>
      </c>
      <c r="GC42" s="3" t="s">
        <v>438</v>
      </c>
      <c r="GD42" s="3" t="s">
        <v>439</v>
      </c>
      <c r="GF42" s="3" t="s">
        <v>440</v>
      </c>
    </row>
    <row r="43" spans="1:188" hidden="1">
      <c r="A43" s="10"/>
      <c r="B43" s="3" t="str">
        <f>'Application Info'!B43</f>
        <v>Santander Consumer Perú</v>
      </c>
      <c r="C43" s="4" t="str">
        <f>'Application Info'!C43</f>
        <v>Docuclass</v>
      </c>
      <c r="D43" s="4"/>
      <c r="E43" s="4"/>
      <c r="F43" s="4"/>
      <c r="G43" s="4"/>
      <c r="H43" s="4"/>
      <c r="GB43" s="3" t="s">
        <v>441</v>
      </c>
      <c r="GC43" s="3" t="s">
        <v>442</v>
      </c>
      <c r="GD43" s="3" t="s">
        <v>443</v>
      </c>
      <c r="GF43" s="3" t="s">
        <v>444</v>
      </c>
    </row>
    <row r="44" spans="1:188" hidden="1">
      <c r="A44" s="10"/>
      <c r="B44" s="3" t="str">
        <f>'Application Info'!B44</f>
        <v>Santander Consumer Perú</v>
      </c>
      <c r="C44" s="4" t="str">
        <f>'Application Info'!C44</f>
        <v>Seir</v>
      </c>
      <c r="D44" s="4"/>
      <c r="E44" s="4"/>
      <c r="F44" s="4"/>
      <c r="G44" s="4"/>
      <c r="H44" s="4"/>
      <c r="GB44" s="3" t="s">
        <v>445</v>
      </c>
      <c r="GC44" s="3" t="s">
        <v>446</v>
      </c>
      <c r="GD44" s="3" t="s">
        <v>447</v>
      </c>
      <c r="GF44" s="3" t="s">
        <v>448</v>
      </c>
    </row>
    <row r="45" spans="1:188" hidden="1">
      <c r="A45" s="10"/>
      <c r="B45" s="3" t="str">
        <f>'Application Info'!B45</f>
        <v>Santander Consumer Perú</v>
      </c>
      <c r="C45" s="4" t="str">
        <f>'Application Info'!C45</f>
        <v>Pomelo</v>
      </c>
      <c r="D45" s="4"/>
      <c r="E45" s="4"/>
      <c r="F45" s="4"/>
      <c r="G45" s="4"/>
      <c r="H45" s="4"/>
      <c r="GB45" s="3" t="s">
        <v>449</v>
      </c>
      <c r="GC45" s="3" t="s">
        <v>450</v>
      </c>
      <c r="GD45" s="3" t="s">
        <v>451</v>
      </c>
      <c r="GF45" s="3" t="s">
        <v>452</v>
      </c>
    </row>
    <row r="46" spans="1:188" hidden="1">
      <c r="A46" s="10"/>
      <c r="B46" s="3" t="str">
        <f>'Application Info'!B46</f>
        <v>Santander Consumer Perú</v>
      </c>
      <c r="C46" s="4" t="str">
        <f>'Application Info'!C46</f>
        <v>Izypay</v>
      </c>
      <c r="D46" s="4"/>
      <c r="E46" s="4"/>
      <c r="F46" s="4"/>
      <c r="G46" s="4"/>
      <c r="H46" s="4"/>
      <c r="GB46" s="3" t="s">
        <v>453</v>
      </c>
      <c r="GC46" s="3" t="s">
        <v>454</v>
      </c>
      <c r="GD46" s="3" t="s">
        <v>455</v>
      </c>
      <c r="GF46" s="3" t="s">
        <v>456</v>
      </c>
    </row>
    <row r="47" spans="1:188" hidden="1">
      <c r="A47" s="10"/>
      <c r="B47" s="3" t="str">
        <f>'Application Info'!B47</f>
        <v>Santander Consumer Perú</v>
      </c>
      <c r="C47" s="4" t="str">
        <f>'Application Info'!C47</f>
        <v>Kasnet</v>
      </c>
      <c r="D47" s="4"/>
      <c r="E47" s="4"/>
      <c r="F47" s="4"/>
      <c r="G47" s="4"/>
      <c r="H47" s="4"/>
      <c r="GB47" s="3" t="s">
        <v>457</v>
      </c>
      <c r="GC47" s="3" t="s">
        <v>120</v>
      </c>
      <c r="GD47" s="3" t="s">
        <v>458</v>
      </c>
      <c r="GF47" s="3" t="s">
        <v>459</v>
      </c>
    </row>
    <row r="48" spans="1:188" hidden="1">
      <c r="A48" s="10"/>
      <c r="B48" s="3" t="str">
        <f>'Application Info'!B48</f>
        <v>Santander Consumer Perú</v>
      </c>
      <c r="C48" s="4" t="str">
        <f>'Application Info'!C48</f>
        <v>ChatBot</v>
      </c>
      <c r="D48" s="4"/>
      <c r="E48" s="4"/>
      <c r="F48" s="4"/>
      <c r="G48" s="4"/>
      <c r="H48" s="4"/>
      <c r="GB48" s="3" t="s">
        <v>460</v>
      </c>
      <c r="GC48" s="3" t="s">
        <v>461</v>
      </c>
      <c r="GD48" s="3" t="s">
        <v>462</v>
      </c>
      <c r="GF48" s="3" t="s">
        <v>463</v>
      </c>
    </row>
    <row r="49" spans="1:188" hidden="1">
      <c r="A49" s="10"/>
      <c r="B49" s="3" t="str">
        <f>'Application Info'!B49</f>
        <v>Santander Consumer Perú</v>
      </c>
      <c r="C49" s="4" t="str">
        <f>'Application Info'!C49</f>
        <v>Data Riesgos</v>
      </c>
      <c r="D49" s="4"/>
      <c r="E49" s="4"/>
      <c r="F49" s="4"/>
      <c r="G49" s="4"/>
      <c r="H49" s="4"/>
      <c r="GB49" s="3" t="s">
        <v>464</v>
      </c>
      <c r="GC49" s="3" t="s">
        <v>465</v>
      </c>
      <c r="GD49" s="3" t="s">
        <v>466</v>
      </c>
      <c r="GF49" s="3" t="s">
        <v>467</v>
      </c>
    </row>
    <row r="50" spans="1:188" hidden="1">
      <c r="A50" s="10"/>
      <c r="B50" s="3" t="str">
        <f>'Application Info'!B50</f>
        <v>Santander Consumer Perú</v>
      </c>
      <c r="C50" s="4" t="str">
        <f>'Application Info'!C50</f>
        <v>API OTP</v>
      </c>
      <c r="D50" s="4" t="s">
        <v>441</v>
      </c>
      <c r="E50" s="4" t="s">
        <v>120</v>
      </c>
      <c r="F50" s="4" t="s">
        <v>530</v>
      </c>
      <c r="G50" s="4" t="s">
        <v>415</v>
      </c>
      <c r="H50" s="4"/>
      <c r="GB50" s="3" t="s">
        <v>468</v>
      </c>
      <c r="GC50" s="3" t="s">
        <v>469</v>
      </c>
      <c r="GD50" s="3" t="s">
        <v>470</v>
      </c>
      <c r="GF50" s="3" t="s">
        <v>471</v>
      </c>
    </row>
    <row r="51" spans="1:188" hidden="1">
      <c r="A51" s="10"/>
      <c r="B51" s="3" t="str">
        <f>'Application Info'!B51</f>
        <v>Santander Consumer Perú</v>
      </c>
      <c r="C51" s="4" t="str">
        <f>'Application Info'!C51</f>
        <v>API Portal</v>
      </c>
      <c r="D51" s="4" t="s">
        <v>441</v>
      </c>
      <c r="E51" s="4" t="s">
        <v>321</v>
      </c>
      <c r="F51" s="4" t="s">
        <v>530</v>
      </c>
      <c r="G51" s="4" t="s">
        <v>415</v>
      </c>
      <c r="H51" s="4"/>
      <c r="GB51" s="3" t="s">
        <v>472</v>
      </c>
      <c r="GC51" s="3" t="s">
        <v>473</v>
      </c>
      <c r="GD51" s="3" t="s">
        <v>474</v>
      </c>
      <c r="GF51" s="3" t="s">
        <v>475</v>
      </c>
    </row>
    <row r="52" spans="1:188" hidden="1">
      <c r="A52" s="10"/>
      <c r="B52" s="3" t="str">
        <f>'Application Info'!B52</f>
        <v>Santander Consumer Perú</v>
      </c>
      <c r="C52" s="4" t="str">
        <f>'Application Info'!C52</f>
        <v>Venta Cartera</v>
      </c>
      <c r="D52" s="4"/>
      <c r="E52" s="4"/>
      <c r="F52" s="4"/>
      <c r="G52" s="4"/>
      <c r="H52" s="4"/>
      <c r="GB52" s="3" t="s">
        <v>476</v>
      </c>
      <c r="GC52" s="3" t="s">
        <v>477</v>
      </c>
      <c r="GD52" s="3" t="s">
        <v>478</v>
      </c>
      <c r="GF52" s="3" t="s">
        <v>479</v>
      </c>
    </row>
    <row r="53" spans="1:188" hidden="1">
      <c r="A53" s="10"/>
      <c r="B53" s="3" t="str">
        <f>'Application Info'!B53</f>
        <v>Santander Perú</v>
      </c>
      <c r="C53" s="4" t="str">
        <f>'Application Info'!C53</f>
        <v>Virtual Assistant P&amp;C</v>
      </c>
      <c r="D53" s="4"/>
      <c r="E53" s="4"/>
      <c r="F53" s="4"/>
      <c r="G53" s="4"/>
      <c r="H53" s="4"/>
    </row>
    <row r="54" spans="1:188" hidden="1">
      <c r="A54" s="10"/>
      <c r="B54" s="3" t="str">
        <f>'Application Info'!B54</f>
        <v>Santander Perú</v>
      </c>
      <c r="C54" s="4" t="str">
        <f>'Application Info'!C54</f>
        <v>Masterbase</v>
      </c>
      <c r="D54" s="4"/>
      <c r="E54" s="4"/>
      <c r="F54" s="4"/>
      <c r="G54" s="4"/>
      <c r="H54" s="4"/>
      <c r="GB54" s="3" t="s">
        <v>480</v>
      </c>
      <c r="GC54" s="3" t="s">
        <v>481</v>
      </c>
      <c r="GD54" s="3" t="s">
        <v>482</v>
      </c>
      <c r="GF54" s="3" t="s">
        <v>483</v>
      </c>
    </row>
    <row r="55" spans="1:188" hidden="1">
      <c r="A55" s="10"/>
      <c r="B55" s="3" t="str">
        <f>'Application Info'!B55</f>
        <v>Santander Perú</v>
      </c>
      <c r="C55" s="4" t="str">
        <f>'Application Info'!C55</f>
        <v>Data Analytics</v>
      </c>
      <c r="D55" s="4"/>
      <c r="E55" s="4"/>
      <c r="F55" s="4"/>
      <c r="G55" s="4"/>
      <c r="H55" s="4"/>
    </row>
    <row r="56" spans="1:188" hidden="1">
      <c r="A56" s="10"/>
      <c r="B56" s="3" t="str">
        <f>'Application Info'!B56</f>
        <v>Santander Perú</v>
      </c>
      <c r="C56" s="4" t="str">
        <f>'Application Info'!C56</f>
        <v>Gestión Portafolio PMO</v>
      </c>
      <c r="D56" s="4"/>
      <c r="E56" s="4"/>
      <c r="F56" s="4"/>
      <c r="G56" s="4"/>
      <c r="H56" s="4"/>
      <c r="GB56" s="3" t="s">
        <v>484</v>
      </c>
      <c r="GC56" s="3" t="s">
        <v>485</v>
      </c>
      <c r="GD56" s="3" t="s">
        <v>486</v>
      </c>
      <c r="GF56" s="3" t="s">
        <v>487</v>
      </c>
    </row>
    <row r="57" spans="1:188" hidden="1">
      <c r="A57" s="10"/>
      <c r="B57" s="3" t="str">
        <f>'Application Info'!B57</f>
        <v>Santander Perú</v>
      </c>
      <c r="C57" s="4" t="str">
        <f>'Application Info'!C57</f>
        <v>Diloo</v>
      </c>
      <c r="D57" s="4"/>
      <c r="E57" s="4"/>
      <c r="F57" s="4"/>
      <c r="G57" s="4"/>
      <c r="H57" s="4"/>
      <c r="GB57" s="3" t="s">
        <v>488</v>
      </c>
      <c r="GC57" s="3" t="s">
        <v>489</v>
      </c>
      <c r="GD57" s="3" t="s">
        <v>490</v>
      </c>
      <c r="GF57" s="3" t="s">
        <v>491</v>
      </c>
    </row>
    <row r="58" spans="1:188" hidden="1">
      <c r="A58" s="10"/>
      <c r="B58" s="3" t="str">
        <f>'Application Info'!B58</f>
        <v>Santander Perú</v>
      </c>
      <c r="C58" s="4" t="str">
        <f>'Application Info'!C58</f>
        <v>Lynx</v>
      </c>
      <c r="D58" s="4"/>
      <c r="E58" s="4"/>
      <c r="F58" s="4"/>
      <c r="G58" s="4"/>
      <c r="H58" s="4"/>
      <c r="GB58" s="3" t="s">
        <v>492</v>
      </c>
      <c r="GC58" s="3" t="s">
        <v>493</v>
      </c>
      <c r="GD58" s="3" t="s">
        <v>494</v>
      </c>
      <c r="GF58" s="3" t="s">
        <v>495</v>
      </c>
    </row>
    <row r="59" spans="1:188" hidden="1">
      <c r="A59" s="10"/>
      <c r="B59" s="3" t="str">
        <f>'Application Info'!B59</f>
        <v>Santander Perú</v>
      </c>
      <c r="C59" s="4" t="str">
        <f>'Application Info'!C59</f>
        <v xml:space="preserve">Astara/SK Berge </v>
      </c>
      <c r="D59" s="4"/>
      <c r="E59" s="4"/>
      <c r="F59" s="4"/>
      <c r="G59" s="4"/>
      <c r="H59" s="4"/>
      <c r="GB59" s="3" t="s">
        <v>496</v>
      </c>
      <c r="GD59" s="3" t="s">
        <v>497</v>
      </c>
      <c r="GF59" s="3" t="s">
        <v>498</v>
      </c>
    </row>
    <row r="60" spans="1:188" hidden="1">
      <c r="A60" s="10"/>
      <c r="B60" s="3" t="str">
        <f>'Application Info'!B60</f>
        <v>Santander Perú</v>
      </c>
      <c r="C60" s="4" t="str">
        <f>'Application Info'!C60</f>
        <v>Factoring Data Lake Leads</v>
      </c>
      <c r="D60" s="4"/>
      <c r="E60" s="4"/>
      <c r="F60" s="4"/>
      <c r="G60" s="4"/>
      <c r="H60" s="4"/>
      <c r="GB60" s="3" t="s">
        <v>499</v>
      </c>
      <c r="GD60" s="3" t="s">
        <v>500</v>
      </c>
      <c r="GF60" s="3" t="s">
        <v>501</v>
      </c>
    </row>
    <row r="61" spans="1:188" hidden="1">
      <c r="A61" s="10"/>
      <c r="B61" s="3" t="str">
        <f>'Application Info'!B61</f>
        <v>Santander Perú</v>
      </c>
      <c r="C61" s="4" t="str">
        <f>'Application Info'!C61</f>
        <v>Monitor Plus (ETL) - Transaction Monitorig</v>
      </c>
      <c r="D61" s="4"/>
      <c r="E61" s="4"/>
      <c r="F61" s="4"/>
      <c r="G61" s="4"/>
      <c r="H61" s="4"/>
      <c r="GB61" s="3" t="s">
        <v>502</v>
      </c>
      <c r="GD61" s="3" t="s">
        <v>503</v>
      </c>
      <c r="GF61" s="3" t="s">
        <v>504</v>
      </c>
    </row>
    <row r="62" spans="1:188" hidden="1">
      <c r="A62" s="10"/>
      <c r="B62" s="3" t="str">
        <f>'Application Info'!B62</f>
        <v>Santander Perú</v>
      </c>
      <c r="C62" s="4" t="str">
        <f>'Application Info'!C62</f>
        <v>Dashboards Analytics</v>
      </c>
      <c r="D62" s="4"/>
      <c r="E62" s="4"/>
      <c r="F62" s="4"/>
      <c r="G62" s="4"/>
      <c r="H62" s="4"/>
      <c r="GB62" s="3" t="s">
        <v>505</v>
      </c>
      <c r="GD62" s="3" t="s">
        <v>506</v>
      </c>
      <c r="GF62" s="3" t="s">
        <v>507</v>
      </c>
    </row>
    <row r="63" spans="1:188" hidden="1">
      <c r="A63" s="10"/>
      <c r="B63" s="3" t="str">
        <f>'Application Info'!B63</f>
        <v>Santander Perú</v>
      </c>
      <c r="C63" s="4" t="str">
        <f>'Application Info'!C63</f>
        <v>Loan Tape</v>
      </c>
      <c r="D63" s="4"/>
      <c r="E63" s="4"/>
      <c r="F63" s="4"/>
      <c r="G63" s="4"/>
      <c r="H63" s="4"/>
      <c r="GB63" s="3" t="s">
        <v>508</v>
      </c>
      <c r="GD63" s="3" t="s">
        <v>509</v>
      </c>
      <c r="GF63" s="3" t="s">
        <v>510</v>
      </c>
    </row>
    <row r="64" spans="1:188" hidden="1">
      <c r="A64" s="10"/>
      <c r="B64" s="3" t="str">
        <f>'Application Info'!B64</f>
        <v>Santander Perú</v>
      </c>
      <c r="C64" s="4" t="str">
        <f>'Application Info'!C64</f>
        <v>Hiperfirmas</v>
      </c>
      <c r="D64" s="4"/>
      <c r="E64" s="4"/>
      <c r="F64" s="4"/>
      <c r="G64" s="4"/>
      <c r="H64" s="4"/>
      <c r="GB64" s="3" t="s">
        <v>45</v>
      </c>
      <c r="GD64" s="3" t="s">
        <v>511</v>
      </c>
      <c r="GF64" s="3" t="s">
        <v>512</v>
      </c>
    </row>
    <row r="65" spans="1:188" hidden="1">
      <c r="A65" s="10"/>
      <c r="B65" s="3" t="str">
        <f>'Application Info'!B65</f>
        <v>Santander Perú</v>
      </c>
      <c r="C65" s="4" t="str">
        <f>'Application Info'!C65</f>
        <v>Web Onboarding</v>
      </c>
      <c r="D65" s="4"/>
      <c r="E65" s="4"/>
      <c r="F65" s="4"/>
      <c r="G65" s="4"/>
      <c r="H65" s="4"/>
      <c r="GB65" s="3" t="s">
        <v>51</v>
      </c>
      <c r="GD65" s="3" t="s">
        <v>513</v>
      </c>
      <c r="GF65" s="3" t="s">
        <v>514</v>
      </c>
    </row>
    <row r="66" spans="1:188" hidden="1">
      <c r="A66" s="10"/>
      <c r="B66" s="3" t="str">
        <f>'Application Info'!B66</f>
        <v>Santander Perú</v>
      </c>
      <c r="C66" s="4" t="str">
        <f>'Application Info'!C66</f>
        <v>LBTR Novatronic</v>
      </c>
      <c r="D66" s="4"/>
      <c r="E66" s="4"/>
      <c r="F66" s="4"/>
      <c r="G66" s="4"/>
      <c r="H66" s="4"/>
      <c r="GB66" s="3" t="s">
        <v>515</v>
      </c>
      <c r="GD66" s="3" t="s">
        <v>516</v>
      </c>
      <c r="GF66" s="3" t="s">
        <v>517</v>
      </c>
    </row>
    <row r="67" spans="1:188" hidden="1">
      <c r="A67" s="10"/>
      <c r="B67" s="3" t="str">
        <f>'Application Info'!B67</f>
        <v>Santander Perú</v>
      </c>
      <c r="C67" s="4" t="str">
        <f>'Application Info'!C67</f>
        <v>Web Pago Interno</v>
      </c>
      <c r="D67" s="4"/>
      <c r="E67" s="4"/>
      <c r="F67" s="4"/>
      <c r="G67" s="4"/>
      <c r="H67" s="4"/>
      <c r="GB67" s="3" t="s">
        <v>518</v>
      </c>
      <c r="GD67" s="3" t="s">
        <v>519</v>
      </c>
      <c r="GF67" s="3" t="s">
        <v>520</v>
      </c>
    </row>
    <row r="68" spans="1:188" hidden="1">
      <c r="A68" s="10"/>
      <c r="B68" s="3" t="str">
        <f>'Application Info'!B68</f>
        <v>Santander Perú</v>
      </c>
      <c r="C68" s="4" t="str">
        <f>'Application Info'!C68</f>
        <v>Retenciones SUNAT</v>
      </c>
      <c r="D68" s="4"/>
      <c r="E68" s="4"/>
      <c r="F68" s="4"/>
      <c r="G68" s="4"/>
      <c r="H68" s="4"/>
      <c r="GB68" s="3" t="s">
        <v>521</v>
      </c>
      <c r="GD68" s="3" t="s">
        <v>522</v>
      </c>
    </row>
    <row r="69" spans="1:188" hidden="1">
      <c r="A69" s="10"/>
      <c r="B69" s="3" t="str">
        <f>'Application Info'!B69</f>
        <v>Santander Perú</v>
      </c>
      <c r="C69" s="4" t="str">
        <f>'Application Info'!C69</f>
        <v>Facturas Negociables</v>
      </c>
      <c r="D69" s="4"/>
      <c r="E69" s="4"/>
      <c r="F69" s="4"/>
      <c r="G69" s="4"/>
      <c r="H69" s="4"/>
      <c r="GB69" s="3" t="s">
        <v>523</v>
      </c>
      <c r="GD69" s="3" t="s">
        <v>300</v>
      </c>
    </row>
    <row r="70" spans="1:188" hidden="1">
      <c r="A70" s="10"/>
      <c r="B70" s="3" t="str">
        <f>'Application Info'!B70</f>
        <v>Santander Perú</v>
      </c>
      <c r="C70" s="4" t="str">
        <f>'Application Info'!C70</f>
        <v>GDS Modellica</v>
      </c>
      <c r="D70" s="4"/>
      <c r="E70" s="4"/>
      <c r="F70" s="4"/>
      <c r="G70" s="4"/>
      <c r="H70" s="4"/>
      <c r="GB70" s="3" t="s">
        <v>524</v>
      </c>
      <c r="GD70" s="3" t="s">
        <v>305</v>
      </c>
    </row>
    <row r="71" spans="1:188" hidden="1">
      <c r="A71" s="10"/>
      <c r="B71" s="3" t="str">
        <f>'Application Info'!B71</f>
        <v>Santander Perú</v>
      </c>
      <c r="C71" s="4" t="str">
        <f>'Application Info'!C71</f>
        <v xml:space="preserve">Qlik Sense </v>
      </c>
      <c r="D71" s="4"/>
      <c r="E71" s="4"/>
      <c r="F71" s="4"/>
      <c r="G71" s="4"/>
      <c r="H71" s="4"/>
      <c r="GB71" s="3" t="s">
        <v>525</v>
      </c>
      <c r="GD71" s="3" t="s">
        <v>327</v>
      </c>
    </row>
    <row r="72" spans="1:188" hidden="1">
      <c r="A72" s="10"/>
      <c r="B72" s="3" t="str">
        <f>'Application Info'!B72</f>
        <v>Santander Perú</v>
      </c>
      <c r="C72" s="4" t="str">
        <f>'Application Info'!C72</f>
        <v>Qlikview</v>
      </c>
      <c r="D72" s="4"/>
      <c r="E72" s="4"/>
      <c r="F72" s="4"/>
      <c r="G72" s="4"/>
      <c r="H72" s="4"/>
      <c r="GB72" s="3" t="s">
        <v>526</v>
      </c>
      <c r="GD72" s="3" t="s">
        <v>332</v>
      </c>
    </row>
    <row r="73" spans="1:188" hidden="1">
      <c r="A73" s="10"/>
      <c r="B73" s="3" t="str">
        <f>'Application Info'!B73</f>
        <v>Santander Perú</v>
      </c>
      <c r="C73" s="4" t="str">
        <f>'Application Info'!C73</f>
        <v>DATATEC</v>
      </c>
      <c r="D73" s="4"/>
      <c r="E73" s="4"/>
      <c r="F73" s="4"/>
      <c r="G73" s="4"/>
      <c r="H73" s="4"/>
      <c r="GB73" s="3" t="s">
        <v>527</v>
      </c>
      <c r="GD73" s="3" t="s">
        <v>528</v>
      </c>
    </row>
    <row r="74" spans="1:188" hidden="1">
      <c r="A74" s="10"/>
      <c r="B74" s="3" t="str">
        <f>'Application Info'!B74</f>
        <v>Santander Perú</v>
      </c>
      <c r="C74" s="4" t="str">
        <f>'Application Info'!C74</f>
        <v>Data Lakehouse Corporativo</v>
      </c>
      <c r="D74" s="4"/>
      <c r="E74" s="4"/>
      <c r="F74" s="4"/>
      <c r="G74" s="4"/>
      <c r="H74" s="4"/>
      <c r="GB74" s="3" t="s">
        <v>529</v>
      </c>
      <c r="GD74" s="3" t="s">
        <v>530</v>
      </c>
    </row>
    <row r="75" spans="1:188" hidden="1">
      <c r="A75" s="10"/>
      <c r="B75" s="3" t="str">
        <f>'Application Info'!B75</f>
        <v>Santander Perú</v>
      </c>
      <c r="C75" s="4" t="str">
        <f>'Application Info'!C75</f>
        <v>Lista Negativa</v>
      </c>
      <c r="D75" s="4"/>
      <c r="E75" s="4"/>
      <c r="F75" s="4"/>
      <c r="G75" s="4"/>
      <c r="H75" s="4"/>
      <c r="GB75" s="3" t="s">
        <v>531</v>
      </c>
    </row>
    <row r="76" spans="1:188" hidden="1">
      <c r="A76" s="10"/>
      <c r="B76" s="3" t="str">
        <f>'Application Info'!B76</f>
        <v>Santander Perú</v>
      </c>
      <c r="C76" s="4" t="str">
        <f>'Application Info'!C76</f>
        <v>Reporte Helios</v>
      </c>
      <c r="D76" s="4"/>
      <c r="E76" s="4"/>
      <c r="F76" s="4"/>
      <c r="G76" s="4"/>
      <c r="H76" s="4"/>
      <c r="GB76" s="3" t="s">
        <v>532</v>
      </c>
    </row>
    <row r="77" spans="1:188" hidden="1">
      <c r="A77" s="10"/>
      <c r="B77" s="3" t="str">
        <f>'Application Info'!B77</f>
        <v>Santander Perú</v>
      </c>
      <c r="C77" s="4" t="str">
        <f>'Application Info'!C77</f>
        <v>WorldSys</v>
      </c>
      <c r="D77" s="4"/>
      <c r="E77" s="4"/>
      <c r="F77" s="4"/>
      <c r="G77" s="4"/>
      <c r="H77" s="4"/>
      <c r="GB77" s="3" t="s">
        <v>533</v>
      </c>
    </row>
    <row r="78" spans="1:188" hidden="1">
      <c r="A78" s="10"/>
      <c r="B78" s="3" t="str">
        <f>'Application Info'!B78</f>
        <v>Santander Perú</v>
      </c>
      <c r="C78" s="4" t="str">
        <f>'Application Info'!C78</f>
        <v>AMLUpdate - Name Screening</v>
      </c>
      <c r="D78" s="4"/>
      <c r="E78" s="4"/>
      <c r="F78" s="4"/>
      <c r="G78" s="4"/>
      <c r="H78" s="4"/>
      <c r="GB78" s="3" t="s">
        <v>534</v>
      </c>
    </row>
    <row r="79" spans="1:188" hidden="1">
      <c r="A79" s="10"/>
      <c r="B79" s="3" t="str">
        <f>'Application Info'!B79</f>
        <v>Santander Perú</v>
      </c>
      <c r="C79" s="4" t="str">
        <f>'Application Info'!C79</f>
        <v>RatingPlus</v>
      </c>
      <c r="D79" s="4"/>
      <c r="E79" s="4"/>
      <c r="F79" s="4"/>
      <c r="G79" s="4"/>
      <c r="H79" s="4"/>
      <c r="GB79" s="3" t="s">
        <v>535</v>
      </c>
    </row>
    <row r="80" spans="1:188" hidden="1">
      <c r="A80" s="10"/>
      <c r="B80" s="3" t="str">
        <f>'Application Info'!B80</f>
        <v>Santander Perú</v>
      </c>
      <c r="C80" s="4" t="str">
        <f>'Application Info'!C80</f>
        <v>Zapier</v>
      </c>
      <c r="D80" s="4"/>
      <c r="E80" s="4"/>
      <c r="F80" s="4"/>
      <c r="G80" s="4"/>
      <c r="H80" s="4"/>
      <c r="GB80" s="3" t="s">
        <v>536</v>
      </c>
    </row>
    <row r="81" spans="1:184" hidden="1">
      <c r="A81" s="10"/>
      <c r="B81" s="3" t="str">
        <f>'Application Info'!B81</f>
        <v>Santander Perú</v>
      </c>
      <c r="C81" s="4" t="str">
        <f>'Application Info'!C81</f>
        <v xml:space="preserve">SAP ByDesign </v>
      </c>
      <c r="D81" s="4" t="s">
        <v>536</v>
      </c>
      <c r="E81" s="4" t="s">
        <v>493</v>
      </c>
      <c r="F81" s="4"/>
      <c r="G81" s="4"/>
      <c r="H81" s="4" t="s">
        <v>429</v>
      </c>
      <c r="GB81" s="3" t="s">
        <v>537</v>
      </c>
    </row>
    <row r="82" spans="1:184" hidden="1">
      <c r="A82" s="10"/>
      <c r="B82" s="3" t="str">
        <f>'Application Info'!B82</f>
        <v>Santander Perú</v>
      </c>
      <c r="C82" s="4" t="str">
        <f>'Application Info'!C82</f>
        <v>Web Institucional</v>
      </c>
      <c r="D82" s="4"/>
      <c r="E82" s="4"/>
      <c r="F82" s="4"/>
      <c r="G82" s="4"/>
      <c r="H82" s="4"/>
      <c r="GB82" s="3" t="s">
        <v>538</v>
      </c>
    </row>
    <row r="83" spans="1:184" hidden="1">
      <c r="A83" s="10"/>
      <c r="B83" s="3" t="str">
        <f>'Application Info'!B83</f>
        <v>Santander Perú</v>
      </c>
      <c r="C83" s="4" t="str">
        <f>'Application Info'!C83</f>
        <v>Motor TOP</v>
      </c>
      <c r="D83" s="4"/>
      <c r="E83" s="4"/>
      <c r="F83" s="4"/>
      <c r="G83" s="4"/>
      <c r="H83" s="4"/>
      <c r="GB83" s="3" t="s">
        <v>539</v>
      </c>
    </row>
    <row r="84" spans="1:184" hidden="1">
      <c r="A84" s="10"/>
      <c r="B84" s="3" t="str">
        <f>'Application Info'!B84</f>
        <v>Santander Perú</v>
      </c>
      <c r="C84" s="4" t="str">
        <f>'Application Info'!C84</f>
        <v>Reporte Crediticio de Deudores</v>
      </c>
      <c r="D84" s="4"/>
      <c r="E84" s="4"/>
      <c r="F84" s="4"/>
      <c r="G84" s="4"/>
      <c r="H84" s="4"/>
      <c r="GB84" s="3" t="s">
        <v>540</v>
      </c>
    </row>
    <row r="85" spans="1:184" hidden="1">
      <c r="A85" s="10"/>
      <c r="B85" s="3" t="str">
        <f>'Application Info'!B85</f>
        <v>Santander Perú</v>
      </c>
      <c r="C85" s="4" t="str">
        <f>'Application Info'!C85</f>
        <v>Nazca AS400</v>
      </c>
      <c r="D85" s="4"/>
      <c r="E85" s="4"/>
      <c r="F85" s="4"/>
      <c r="G85" s="4"/>
      <c r="H85" s="4"/>
      <c r="GB85" s="3" t="s">
        <v>541</v>
      </c>
    </row>
    <row r="86" spans="1:184" hidden="1">
      <c r="A86" s="10"/>
      <c r="B86" s="3" t="str">
        <f>'Application Info'!B86</f>
        <v>Santander Perú</v>
      </c>
      <c r="C86" s="4" t="str">
        <f>'Application Info'!C86</f>
        <v>Genesys Cloud</v>
      </c>
      <c r="D86" s="4"/>
      <c r="E86" s="4"/>
      <c r="F86" s="4"/>
      <c r="G86" s="4"/>
      <c r="H86" s="4"/>
      <c r="GB86" s="3" t="s">
        <v>542</v>
      </c>
    </row>
    <row r="87" spans="1:184" hidden="1">
      <c r="A87" s="10"/>
      <c r="B87" s="3">
        <f>'Application Info'!B87</f>
        <v>0</v>
      </c>
      <c r="C87" s="4">
        <f>'Application Info'!C87</f>
        <v>0</v>
      </c>
      <c r="D87" s="4"/>
      <c r="E87" s="4"/>
      <c r="F87" s="4"/>
      <c r="G87" s="4"/>
      <c r="H87" s="4"/>
      <c r="GB87" s="3" t="s">
        <v>543</v>
      </c>
    </row>
    <row r="88" spans="1:184" hidden="1">
      <c r="A88" s="10"/>
      <c r="B88" s="3">
        <f>'Application Info'!B88</f>
        <v>0</v>
      </c>
      <c r="C88" s="4">
        <f>'Application Info'!C88</f>
        <v>0</v>
      </c>
      <c r="D88" s="4"/>
      <c r="E88" s="4"/>
      <c r="F88" s="4"/>
      <c r="G88" s="4"/>
      <c r="H88" s="4"/>
      <c r="GB88" s="3" t="s">
        <v>544</v>
      </c>
    </row>
    <row r="89" spans="1:184" hidden="1">
      <c r="A89" s="10"/>
      <c r="B89" s="3">
        <f>'Application Info'!B89</f>
        <v>0</v>
      </c>
      <c r="C89" s="4">
        <f>'Application Info'!C89</f>
        <v>0</v>
      </c>
      <c r="D89" s="4"/>
      <c r="E89" s="4"/>
      <c r="F89" s="4"/>
      <c r="G89" s="4"/>
      <c r="H89" s="4"/>
      <c r="GB89" s="3" t="s">
        <v>120</v>
      </c>
    </row>
    <row r="90" spans="1:184" hidden="1">
      <c r="A90" s="10"/>
      <c r="B90" s="3">
        <f>'Application Info'!B90</f>
        <v>0</v>
      </c>
      <c r="C90" s="4">
        <f>'Application Info'!C90</f>
        <v>0</v>
      </c>
      <c r="D90" s="4"/>
      <c r="E90" s="4"/>
      <c r="F90" s="4"/>
      <c r="G90" s="4"/>
      <c r="H90" s="4"/>
      <c r="GB90" s="3" t="s">
        <v>545</v>
      </c>
    </row>
    <row r="91" spans="1:184" hidden="1">
      <c r="A91" s="10"/>
      <c r="B91" s="3">
        <f>'Application Info'!B91</f>
        <v>0</v>
      </c>
      <c r="C91" s="4">
        <f>'Application Info'!C91</f>
        <v>0</v>
      </c>
      <c r="D91" s="4"/>
      <c r="E91" s="4"/>
      <c r="F91" s="4"/>
      <c r="G91" s="4"/>
      <c r="H91" s="4"/>
      <c r="GB91" s="3" t="s">
        <v>546</v>
      </c>
    </row>
    <row r="92" spans="1:184" hidden="1">
      <c r="A92" s="10"/>
      <c r="B92" s="3">
        <f>'Application Info'!B92</f>
        <v>0</v>
      </c>
      <c r="C92" s="4">
        <f>'Application Info'!C92</f>
        <v>0</v>
      </c>
      <c r="D92" s="4"/>
      <c r="E92" s="4"/>
      <c r="F92" s="4"/>
      <c r="G92" s="4"/>
      <c r="H92" s="4"/>
    </row>
    <row r="93" spans="1:184" hidden="1">
      <c r="A93" s="10"/>
      <c r="B93" s="3">
        <f>'Application Info'!B93</f>
        <v>0</v>
      </c>
      <c r="C93" s="4">
        <f>'Application Info'!C93</f>
        <v>0</v>
      </c>
      <c r="D93" s="4"/>
      <c r="E93" s="4"/>
      <c r="F93" s="4"/>
      <c r="G93" s="4"/>
      <c r="H93" s="4"/>
    </row>
    <row r="94" spans="1:184" hidden="1">
      <c r="A94" s="10"/>
      <c r="B94" s="3">
        <f>'Application Info'!B94</f>
        <v>0</v>
      </c>
      <c r="C94" s="4">
        <f>'Application Info'!C94</f>
        <v>0</v>
      </c>
      <c r="D94" s="4"/>
      <c r="E94" s="4"/>
      <c r="F94" s="4"/>
      <c r="G94" s="4"/>
      <c r="H94" s="4"/>
    </row>
    <row r="95" spans="1:184" hidden="1">
      <c r="A95" s="10"/>
      <c r="B95" s="3">
        <f>'Application Info'!B95</f>
        <v>0</v>
      </c>
      <c r="C95" s="4">
        <f>'Application Info'!C95</f>
        <v>0</v>
      </c>
      <c r="D95" s="4"/>
      <c r="E95" s="4"/>
      <c r="F95" s="4"/>
      <c r="G95" s="4"/>
      <c r="H95" s="4"/>
    </row>
    <row r="96" spans="1:184" hidden="1">
      <c r="A96" s="10"/>
      <c r="B96" s="3">
        <f>'Application Info'!B96</f>
        <v>0</v>
      </c>
      <c r="C96" s="4">
        <f>'Application Info'!C96</f>
        <v>0</v>
      </c>
      <c r="D96" s="4"/>
      <c r="E96" s="4"/>
      <c r="F96" s="4"/>
      <c r="G96" s="4"/>
      <c r="H96" s="4"/>
    </row>
    <row r="97" spans="1:8" hidden="1">
      <c r="A97" s="10"/>
      <c r="B97" s="3">
        <f>'Application Info'!B97</f>
        <v>0</v>
      </c>
      <c r="C97" s="4">
        <f>'Application Info'!C97</f>
        <v>0</v>
      </c>
      <c r="D97" s="4"/>
      <c r="E97" s="4"/>
      <c r="F97" s="4"/>
      <c r="G97" s="4"/>
      <c r="H97" s="4"/>
    </row>
    <row r="98" spans="1:8" hidden="1">
      <c r="A98" s="10"/>
      <c r="B98" s="3">
        <f>'Application Info'!B98</f>
        <v>0</v>
      </c>
      <c r="C98" s="4">
        <f>'Application Info'!C98</f>
        <v>0</v>
      </c>
      <c r="D98" s="4"/>
      <c r="E98" s="4"/>
      <c r="F98" s="4"/>
      <c r="G98" s="4"/>
      <c r="H98" s="4"/>
    </row>
    <row r="99" spans="1:8" hidden="1">
      <c r="A99" s="10"/>
      <c r="B99" s="3">
        <f>'Application Info'!B99</f>
        <v>0</v>
      </c>
      <c r="C99" s="4">
        <f>'Application Info'!C99</f>
        <v>0</v>
      </c>
      <c r="D99" s="4"/>
      <c r="E99" s="4"/>
      <c r="F99" s="4"/>
      <c r="G99" s="4"/>
      <c r="H99" s="4"/>
    </row>
    <row r="100" spans="1:8" hidden="1">
      <c r="A100" s="10"/>
      <c r="B100" s="3">
        <f>'Application Info'!B100</f>
        <v>0</v>
      </c>
      <c r="C100" s="4">
        <f>'Application Info'!C100</f>
        <v>0</v>
      </c>
      <c r="D100" s="4"/>
      <c r="E100" s="4"/>
      <c r="F100" s="4"/>
      <c r="G100" s="4"/>
      <c r="H100" s="4"/>
    </row>
    <row r="101" spans="1:8">
      <c r="A101" s="10"/>
    </row>
    <row r="102" spans="1:8">
      <c r="A102" s="10"/>
    </row>
    <row r="103" spans="1:8">
      <c r="A103" s="10"/>
    </row>
    <row r="104" spans="1:8">
      <c r="A104" s="10"/>
    </row>
    <row r="105" spans="1:8">
      <c r="A105" s="10"/>
    </row>
    <row r="25001" spans="201:202">
      <c r="GS25001" s="3" t="s">
        <v>66</v>
      </c>
      <c r="GT25001" s="3">
        <v>1</v>
      </c>
    </row>
    <row r="64998" spans="250:250">
      <c r="IP64998" s="3" t="s">
        <v>67</v>
      </c>
    </row>
    <row r="65000" spans="250:250">
      <c r="IP65000" s="3" t="s">
        <v>67</v>
      </c>
    </row>
  </sheetData>
  <autoFilter ref="A1:IP100" xr:uid="{FDA90148-87F5-4F91-8AF4-8042469CBB08}">
    <filterColumn colId="2">
      <filters>
        <filter val="App Cliente"/>
        <filter val="App Surgir"/>
        <filter val="Bantotal - Core Bancario"/>
        <filter val="Cash Nexus"/>
        <filter val="CEEFFC"/>
      </filters>
    </filterColumn>
  </autoFilter>
  <dataValidations count="5">
    <dataValidation type="list" allowBlank="1" sqref="H2:H10001" xr:uid="{9234FD07-A196-4F98-BE68-1480C713F722}">
      <formula1>$GF$2:$GF$67</formula1>
    </dataValidation>
    <dataValidation type="list" allowBlank="1" sqref="G2:G10001" xr:uid="{7272EB18-4A4A-450D-936E-5C92CAA3ED84}">
      <formula1>$GE$2:$GE$38</formula1>
    </dataValidation>
    <dataValidation type="list" allowBlank="1" sqref="F2:F10001" xr:uid="{EFC759DC-6B99-4324-A400-CB24868617CD}">
      <formula1>$GD$2:$GD$74</formula1>
    </dataValidation>
    <dataValidation type="list" allowBlank="1" sqref="E2:E10001" xr:uid="{4509378B-F5EE-4EF1-9AC7-2133A0EB37AC}">
      <formula1>$GC$2:$GC$58</formula1>
    </dataValidation>
    <dataValidation type="list" allowBlank="1" sqref="D2:D10001" xr:uid="{BDC957DF-E135-4B00-AEFF-9F19DADD29E6}">
      <formula1>$GB$2:$GB$91</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F899B-4D39-4C4D-859C-E9EB8F72683D}">
  <sheetPr filterMode="1"/>
  <dimension ref="A1:IP64998"/>
  <sheetViews>
    <sheetView topLeftCell="G1" workbookViewId="0">
      <pane ySplit="1" topLeftCell="A59" activePane="bottomLeft" state="frozen"/>
      <selection pane="bottomLeft" activeCell="I59" sqref="I59"/>
    </sheetView>
  </sheetViews>
  <sheetFormatPr baseColWidth="10" defaultColWidth="8.4140625" defaultRowHeight="14.5"/>
  <cols>
    <col min="1" max="1" width="25" style="3" hidden="1" customWidth="1"/>
    <col min="2" max="8" width="25" style="3" customWidth="1"/>
    <col min="9" max="9" width="53.83203125" style="3" customWidth="1"/>
    <col min="10" max="10" width="25" style="3" customWidth="1"/>
    <col min="11" max="183" width="8.4140625" style="3"/>
    <col min="184" max="184" width="27.5" style="3" bestFit="1" customWidth="1"/>
    <col min="185" max="185" width="17" style="3" bestFit="1" customWidth="1"/>
    <col min="186" max="186" width="24.33203125" style="3" bestFit="1" customWidth="1"/>
    <col min="187" max="187" width="25.5" style="3" bestFit="1" customWidth="1"/>
    <col min="188" max="188" width="39.4140625" style="3" bestFit="1" customWidth="1"/>
    <col min="189" max="16384" width="8.4140625" style="3"/>
  </cols>
  <sheetData>
    <row r="1" spans="1:189">
      <c r="A1" s="1" t="s">
        <v>0</v>
      </c>
      <c r="B1" s="1" t="s">
        <v>1</v>
      </c>
      <c r="C1" s="2" t="s">
        <v>2</v>
      </c>
      <c r="D1" s="3" t="s">
        <v>547</v>
      </c>
      <c r="E1" s="3" t="s">
        <v>548</v>
      </c>
      <c r="F1" s="3" t="s">
        <v>549</v>
      </c>
      <c r="G1" s="3" t="s">
        <v>550</v>
      </c>
      <c r="H1" s="3" t="s">
        <v>551</v>
      </c>
      <c r="I1" s="3" t="s">
        <v>552</v>
      </c>
      <c r="J1" s="3" t="s">
        <v>553</v>
      </c>
      <c r="FY1" s="3" t="s">
        <v>16</v>
      </c>
      <c r="FZ1" s="3" t="s">
        <v>17</v>
      </c>
      <c r="GB1" s="3" t="s">
        <v>554</v>
      </c>
      <c r="GC1" s="3" t="s">
        <v>555</v>
      </c>
      <c r="GD1" s="3" t="s">
        <v>556</v>
      </c>
      <c r="GE1" s="3" t="s">
        <v>557</v>
      </c>
      <c r="GF1" s="3" t="s">
        <v>558</v>
      </c>
      <c r="GG1" s="3" t="s">
        <v>559</v>
      </c>
    </row>
    <row r="2" spans="1:189" hidden="1">
      <c r="A2" s="4"/>
      <c r="B2" s="3" t="str">
        <f>'Application Info'!B2</f>
        <v>Surgir</v>
      </c>
      <c r="C2" s="4" t="str">
        <f>'Application Info'!C2</f>
        <v>SAP by Design</v>
      </c>
      <c r="D2" s="4"/>
      <c r="E2" s="4"/>
      <c r="F2" s="4"/>
      <c r="G2" s="4"/>
      <c r="H2" s="4"/>
      <c r="I2" s="4"/>
      <c r="J2" s="4"/>
      <c r="FY2" s="3" t="s">
        <v>560</v>
      </c>
      <c r="GB2" s="3" t="s">
        <v>561</v>
      </c>
      <c r="GC2" s="3" t="s">
        <v>562</v>
      </c>
      <c r="GD2" s="3" t="s">
        <v>563</v>
      </c>
      <c r="GE2" s="3" t="s">
        <v>564</v>
      </c>
      <c r="GF2" s="3" t="s">
        <v>565</v>
      </c>
      <c r="GG2" s="3" t="s">
        <v>67</v>
      </c>
    </row>
    <row r="3" spans="1:189" hidden="1">
      <c r="B3" s="3" t="str">
        <f>'Application Info'!B3</f>
        <v>Surgir</v>
      </c>
      <c r="C3" s="4" t="str">
        <f>'Application Info'!C3</f>
        <v>App Surgir</v>
      </c>
      <c r="D3" s="4"/>
      <c r="E3" s="4" t="s">
        <v>568</v>
      </c>
      <c r="F3" s="4"/>
      <c r="G3" s="4"/>
      <c r="H3" s="4"/>
      <c r="I3" s="4"/>
      <c r="J3" s="4"/>
      <c r="FY3" s="3" t="s">
        <v>566</v>
      </c>
      <c r="GB3" s="3" t="s">
        <v>567</v>
      </c>
      <c r="GC3" s="3" t="s">
        <v>568</v>
      </c>
      <c r="GD3" s="3" t="s">
        <v>569</v>
      </c>
      <c r="GE3" s="3" t="s">
        <v>570</v>
      </c>
      <c r="GF3" s="3" t="s">
        <v>571</v>
      </c>
      <c r="GG3" s="3" t="s">
        <v>156</v>
      </c>
    </row>
    <row r="4" spans="1:189" hidden="1">
      <c r="B4" s="3" t="str">
        <f>'Application Info'!B4</f>
        <v>Surgir</v>
      </c>
      <c r="C4" s="4" t="str">
        <f>'Application Info'!C4</f>
        <v>App Cliente</v>
      </c>
      <c r="D4" s="4"/>
      <c r="E4" s="4" t="s">
        <v>568</v>
      </c>
      <c r="F4" s="4"/>
      <c r="G4" s="4"/>
      <c r="H4" s="4"/>
      <c r="I4" s="4"/>
      <c r="J4" s="4"/>
      <c r="FY4" s="3" t="s">
        <v>572</v>
      </c>
      <c r="GB4" s="3" t="s">
        <v>573</v>
      </c>
      <c r="GC4" s="3" t="s">
        <v>574</v>
      </c>
      <c r="GD4" s="3" t="s">
        <v>575</v>
      </c>
      <c r="GE4" s="3" t="s">
        <v>576</v>
      </c>
      <c r="GF4" s="3" t="s">
        <v>577</v>
      </c>
      <c r="GG4" s="3" t="s">
        <v>120</v>
      </c>
    </row>
    <row r="5" spans="1:189" hidden="1">
      <c r="B5" s="3" t="str">
        <f>'Application Info'!B5</f>
        <v>Surgir</v>
      </c>
      <c r="C5" s="4" t="str">
        <f>'Application Info'!C5</f>
        <v>AMLUpdate - Name Screening</v>
      </c>
      <c r="D5" s="4"/>
      <c r="E5" s="4" t="s">
        <v>568</v>
      </c>
      <c r="F5" s="4"/>
      <c r="G5" s="4"/>
      <c r="H5" s="4"/>
      <c r="I5" s="4"/>
      <c r="J5" s="4"/>
      <c r="FY5" s="3" t="s">
        <v>578</v>
      </c>
      <c r="GB5" s="3" t="s">
        <v>579</v>
      </c>
      <c r="GC5" s="3" t="s">
        <v>51</v>
      </c>
      <c r="GD5" s="3" t="s">
        <v>580</v>
      </c>
      <c r="GE5" s="3" t="s">
        <v>581</v>
      </c>
      <c r="GF5" s="3" t="s">
        <v>582</v>
      </c>
    </row>
    <row r="6" spans="1:189" hidden="1">
      <c r="B6" s="3" t="str">
        <f>'Application Info'!B6</f>
        <v>Surgir</v>
      </c>
      <c r="C6" s="4" t="str">
        <f>'Application Info'!C6</f>
        <v>Portal Web Público</v>
      </c>
      <c r="D6" s="4"/>
      <c r="E6" s="4"/>
      <c r="F6" s="4"/>
      <c r="G6" s="4"/>
      <c r="H6" s="4"/>
      <c r="I6" s="4"/>
      <c r="J6" s="4"/>
      <c r="FY6" s="3" t="s">
        <v>583</v>
      </c>
      <c r="GB6" s="3" t="s">
        <v>584</v>
      </c>
      <c r="GD6" s="3" t="s">
        <v>120</v>
      </c>
      <c r="GE6" s="3" t="s">
        <v>120</v>
      </c>
      <c r="GF6" s="3" t="s">
        <v>120</v>
      </c>
    </row>
    <row r="7" spans="1:189" hidden="1">
      <c r="B7" s="3" t="str">
        <f>'Application Info'!B7</f>
        <v>Surgir</v>
      </c>
      <c r="C7" s="4" t="str">
        <f>'Application Info'!C7</f>
        <v>Anura</v>
      </c>
      <c r="D7" s="4"/>
      <c r="E7" s="4" t="s">
        <v>51</v>
      </c>
      <c r="F7" s="4"/>
      <c r="G7" s="4"/>
      <c r="H7" s="4"/>
      <c r="I7" s="4"/>
      <c r="J7" s="4"/>
      <c r="FY7" s="3" t="s">
        <v>585</v>
      </c>
      <c r="GB7" s="3" t="s">
        <v>586</v>
      </c>
      <c r="GD7" s="3" t="s">
        <v>51</v>
      </c>
      <c r="GE7" s="3" t="s">
        <v>51</v>
      </c>
      <c r="GF7" s="3" t="s">
        <v>51</v>
      </c>
    </row>
    <row r="8" spans="1:189" hidden="1">
      <c r="B8" s="3" t="str">
        <f>'Application Info'!B8</f>
        <v>Surgir</v>
      </c>
      <c r="C8" s="4" t="str">
        <f>'Application Info'!C8</f>
        <v>ERP Contanet</v>
      </c>
      <c r="D8" s="4"/>
      <c r="E8" s="4"/>
      <c r="F8" s="4"/>
      <c r="G8" s="4"/>
      <c r="H8" s="4"/>
      <c r="I8" s="4"/>
      <c r="J8" s="4"/>
      <c r="GB8" s="3" t="s">
        <v>587</v>
      </c>
    </row>
    <row r="9" spans="1:189" hidden="1">
      <c r="B9" s="3" t="str">
        <f>'Application Info'!B9</f>
        <v>Surgir</v>
      </c>
      <c r="C9" s="4" t="str">
        <f>'Application Info'!C9</f>
        <v>Datalake</v>
      </c>
      <c r="D9" s="4"/>
      <c r="E9" s="4"/>
      <c r="F9" s="4"/>
      <c r="G9" s="4"/>
      <c r="H9" s="4"/>
      <c r="I9" s="4"/>
      <c r="J9" s="4"/>
      <c r="GB9" s="3" t="s">
        <v>45</v>
      </c>
    </row>
    <row r="10" spans="1:189" hidden="1">
      <c r="B10" s="3" t="str">
        <f>'Application Info'!B10</f>
        <v>Surgir</v>
      </c>
      <c r="C10" s="4" t="str">
        <f>'Application Info'!C10</f>
        <v>Cobis</v>
      </c>
      <c r="D10" s="4"/>
      <c r="E10" s="4"/>
      <c r="F10" s="4"/>
      <c r="G10" s="4"/>
      <c r="H10" s="4"/>
      <c r="I10" s="4"/>
      <c r="J10" s="4"/>
      <c r="GB10" s="3" t="s">
        <v>51</v>
      </c>
    </row>
    <row r="11" spans="1:189" hidden="1">
      <c r="B11" s="3" t="str">
        <f>'Application Info'!B11</f>
        <v>Santander Fondos Colectivos</v>
      </c>
      <c r="C11" s="4" t="str">
        <f>'Application Info'!C11</f>
        <v>Emblue</v>
      </c>
      <c r="D11" s="4"/>
      <c r="E11" s="4"/>
      <c r="F11" s="4"/>
      <c r="G11" s="4"/>
      <c r="H11" s="4"/>
      <c r="I11" s="4"/>
      <c r="J11" s="4"/>
      <c r="GB11" s="3" t="s">
        <v>120</v>
      </c>
    </row>
    <row r="12" spans="1:189" hidden="1">
      <c r="B12" s="3" t="str">
        <f>'Application Info'!B12</f>
        <v>Santander Fondos Colectivos</v>
      </c>
      <c r="C12" s="4" t="str">
        <f>'Application Info'!C12</f>
        <v>Facephi</v>
      </c>
      <c r="D12" s="4"/>
      <c r="E12" s="4"/>
      <c r="F12" s="4"/>
      <c r="G12" s="4"/>
      <c r="H12" s="4"/>
      <c r="I12" s="4"/>
      <c r="J12" s="4"/>
    </row>
    <row r="13" spans="1:189" hidden="1">
      <c r="B13" s="3" t="str">
        <f>'Application Info'!B13</f>
        <v>Santander Fondos Colectivos</v>
      </c>
      <c r="C13" s="4" t="str">
        <f>'Application Info'!C13</f>
        <v>Mapfre</v>
      </c>
      <c r="D13" s="4"/>
      <c r="E13" s="4"/>
      <c r="F13" s="4"/>
      <c r="G13" s="4"/>
      <c r="H13" s="4"/>
      <c r="I13" s="4"/>
      <c r="J13" s="4"/>
    </row>
    <row r="14" spans="1:189" hidden="1">
      <c r="B14" s="3" t="str">
        <f>'Application Info'!B14</f>
        <v>Santander Fondos Colectivos</v>
      </c>
      <c r="C14" s="4" t="str">
        <f>'Application Info'!C14</f>
        <v>Tracklink</v>
      </c>
      <c r="D14" s="4"/>
      <c r="E14" s="4"/>
      <c r="F14" s="4"/>
      <c r="G14" s="4"/>
      <c r="H14" s="4"/>
      <c r="I14" s="4"/>
      <c r="J14" s="4"/>
    </row>
    <row r="15" spans="1:189" hidden="1">
      <c r="B15" s="3" t="str">
        <f>'Application Info'!B15</f>
        <v>Santander Fondos Colectivos</v>
      </c>
      <c r="C15" s="4" t="str">
        <f>'Application Info'!C15</f>
        <v>Docuclass</v>
      </c>
      <c r="D15" s="4"/>
      <c r="E15" s="4"/>
      <c r="F15" s="4"/>
      <c r="G15" s="4"/>
      <c r="H15" s="4"/>
      <c r="I15" s="4"/>
      <c r="J15" s="4"/>
    </row>
    <row r="16" spans="1:189" hidden="1">
      <c r="B16" s="3" t="str">
        <f>'Application Info'!B16</f>
        <v>Santander Fondos Colectivos</v>
      </c>
      <c r="C16" s="4" t="str">
        <f>'Application Info'!C16</f>
        <v>Diloo</v>
      </c>
      <c r="D16" s="4"/>
      <c r="E16" s="4"/>
      <c r="F16" s="4"/>
      <c r="G16" s="4"/>
      <c r="H16" s="4"/>
      <c r="I16" s="4"/>
      <c r="J16" s="4"/>
    </row>
    <row r="17" spans="2:10" hidden="1">
      <c r="B17" s="3" t="str">
        <f>'Application Info'!B17</f>
        <v>Santander Fondos Colectivos</v>
      </c>
      <c r="C17" s="4" t="str">
        <f>'Application Info'!C17</f>
        <v>Izipay Pagos en línea</v>
      </c>
      <c r="D17" s="4"/>
      <c r="E17" s="4"/>
      <c r="F17" s="4"/>
      <c r="G17" s="4"/>
      <c r="H17" s="4"/>
      <c r="I17" s="4"/>
      <c r="J17" s="4"/>
    </row>
    <row r="18" spans="2:10" hidden="1">
      <c r="B18" s="3" t="str">
        <f>'Application Info'!B18</f>
        <v>Santander Fondos Colectivos</v>
      </c>
      <c r="C18" s="4" t="str">
        <f>'Application Info'!C18</f>
        <v>IBK Recaudación</v>
      </c>
      <c r="D18" s="4"/>
      <c r="E18" s="4"/>
      <c r="F18" s="4"/>
      <c r="G18" s="4"/>
      <c r="H18" s="4"/>
      <c r="I18" s="4"/>
      <c r="J18" s="4"/>
    </row>
    <row r="19" spans="2:10" hidden="1">
      <c r="B19" s="3" t="str">
        <f>'Application Info'!B19</f>
        <v>Santander Fondos Colectivos</v>
      </c>
      <c r="C19" s="4" t="str">
        <f>'Application Info'!C19</f>
        <v>SAP by Design</v>
      </c>
      <c r="D19" s="4"/>
      <c r="E19" s="4"/>
      <c r="F19" s="4"/>
      <c r="G19" s="4"/>
      <c r="H19" s="4"/>
      <c r="I19" s="4"/>
      <c r="J19" s="4"/>
    </row>
    <row r="20" spans="2:10" hidden="1">
      <c r="B20" s="3" t="str">
        <f>'Application Info'!B20</f>
        <v>Santander Fondos Colectivos</v>
      </c>
      <c r="C20" s="4" t="str">
        <f>'Application Info'!C20</f>
        <v>Portal Web Público</v>
      </c>
      <c r="D20" s="4"/>
      <c r="E20" s="4"/>
      <c r="F20" s="4"/>
      <c r="G20" s="4"/>
      <c r="H20" s="4"/>
      <c r="I20" s="4"/>
      <c r="J20" s="4"/>
    </row>
    <row r="21" spans="2:10" hidden="1">
      <c r="B21" s="3" t="str">
        <f>'Application Info'!B21</f>
        <v>Santander Fondos Colectivos</v>
      </c>
      <c r="C21" s="4" t="str">
        <f>'Application Info'!C21</f>
        <v>AMLUpdate - Name Screening</v>
      </c>
      <c r="D21" s="4"/>
      <c r="E21" s="4" t="s">
        <v>568</v>
      </c>
      <c r="F21" s="4"/>
      <c r="G21" s="4"/>
      <c r="H21" s="4"/>
      <c r="I21" s="4"/>
      <c r="J21" s="4"/>
    </row>
    <row r="22" spans="2:10" hidden="1">
      <c r="B22" s="3" t="str">
        <f>'Application Info'!B22</f>
        <v>Santander Fondos Colectivos</v>
      </c>
      <c r="C22" s="4" t="str">
        <f>'Application Info'!C22</f>
        <v>Santo</v>
      </c>
      <c r="D22" s="4"/>
      <c r="E22" s="4"/>
      <c r="F22" s="4"/>
      <c r="G22" s="4"/>
      <c r="H22" s="4"/>
      <c r="I22" s="4"/>
      <c r="J22" s="4"/>
    </row>
    <row r="23" spans="2:10" hidden="1">
      <c r="B23" s="3" t="str">
        <f>'Application Info'!B23</f>
        <v>SCIB Perú</v>
      </c>
      <c r="C23" s="4" t="str">
        <f>'Application Info'!C23</f>
        <v>Nuevo Office Banking</v>
      </c>
      <c r="D23" s="4"/>
      <c r="E23" s="4"/>
      <c r="F23" s="4"/>
      <c r="G23" s="4"/>
      <c r="H23" s="4"/>
      <c r="I23" s="4"/>
      <c r="J23" s="4"/>
    </row>
    <row r="24" spans="2:10" hidden="1">
      <c r="B24" s="3" t="str">
        <f>'Application Info'!B24</f>
        <v>SCIB Perú</v>
      </c>
      <c r="C24" s="4" t="str">
        <f>'Application Info'!C24</f>
        <v>CEEFFC</v>
      </c>
      <c r="D24" s="4"/>
      <c r="E24" s="4"/>
      <c r="F24" s="4"/>
      <c r="G24" s="4"/>
      <c r="H24" s="4"/>
      <c r="I24" s="4"/>
      <c r="J24" s="4"/>
    </row>
    <row r="25" spans="2:10" hidden="1">
      <c r="B25" s="3" t="str">
        <f>'Application Info'!B25</f>
        <v>SCIB Perú</v>
      </c>
      <c r="C25" s="4" t="str">
        <f>'Application Info'!C25</f>
        <v>Lbtr</v>
      </c>
      <c r="D25" s="4"/>
      <c r="E25" s="4"/>
      <c r="F25" s="4"/>
      <c r="G25" s="4"/>
      <c r="H25" s="4"/>
      <c r="I25" s="4"/>
      <c r="J25" s="4"/>
    </row>
    <row r="26" spans="2:10" hidden="1">
      <c r="B26" s="3" t="str">
        <f>'Application Info'!B26</f>
        <v>SCIB Perú</v>
      </c>
      <c r="C26" s="4" t="str">
        <f>'Application Info'!C26</f>
        <v>Cash Nexus</v>
      </c>
      <c r="D26" s="4"/>
      <c r="E26" s="4"/>
      <c r="F26" s="4"/>
      <c r="G26" s="4"/>
      <c r="H26" s="4"/>
      <c r="I26" s="4"/>
      <c r="J26" s="4"/>
    </row>
    <row r="27" spans="2:10" hidden="1">
      <c r="B27" s="3" t="str">
        <f>'Application Info'!B27</f>
        <v>SCIB Perú</v>
      </c>
      <c r="C27" s="4" t="str">
        <f>'Application Info'!C27</f>
        <v>Host to Host</v>
      </c>
      <c r="D27" s="4"/>
      <c r="E27" s="4"/>
      <c r="F27" s="4"/>
      <c r="G27" s="4"/>
      <c r="H27" s="4"/>
      <c r="I27" s="4"/>
      <c r="J27" s="4"/>
    </row>
    <row r="28" spans="2:10" hidden="1">
      <c r="B28" s="3" t="str">
        <f>'Application Info'!B28</f>
        <v>SCIB Perú</v>
      </c>
      <c r="C28" s="4" t="str">
        <f>'Application Info'!C28</f>
        <v>Sistema Office Banking</v>
      </c>
      <c r="D28" s="4"/>
      <c r="E28" s="4"/>
      <c r="F28" s="4"/>
      <c r="G28" s="4"/>
      <c r="H28" s="4"/>
      <c r="I28" s="4"/>
      <c r="J28" s="4"/>
    </row>
    <row r="29" spans="2:10" hidden="1">
      <c r="B29" s="3" t="str">
        <f>'Application Info'!B29</f>
        <v>Santander Consumer Perú</v>
      </c>
      <c r="C29" s="4" t="str">
        <f>'Application Info'!C29</f>
        <v>Diloo</v>
      </c>
      <c r="D29" s="4"/>
      <c r="E29" s="4"/>
      <c r="F29" s="4"/>
      <c r="G29" s="4"/>
      <c r="H29" s="4"/>
      <c r="I29" s="4"/>
      <c r="J29" s="4"/>
    </row>
    <row r="30" spans="2:10" hidden="1">
      <c r="B30" s="3" t="str">
        <f>'Application Info'!B30</f>
        <v>Santander Consumer Perú</v>
      </c>
      <c r="C30" s="4" t="str">
        <f>'Application Info'!C30</f>
        <v>Plataforma de Facturacion Electronica</v>
      </c>
      <c r="D30" s="4"/>
      <c r="E30" s="4"/>
      <c r="F30" s="4"/>
      <c r="G30" s="4"/>
      <c r="H30" s="4"/>
      <c r="I30" s="4"/>
      <c r="J30" s="4"/>
    </row>
    <row r="31" spans="2:10" hidden="1">
      <c r="B31" s="3" t="str">
        <f>'Application Info'!B31</f>
        <v>Santander Consumer Perú</v>
      </c>
      <c r="C31" s="4" t="str">
        <f>'Application Info'!C31</f>
        <v>Contáctanos</v>
      </c>
      <c r="D31" s="4"/>
      <c r="E31" s="4"/>
      <c r="F31" s="4"/>
      <c r="G31" s="4"/>
      <c r="H31" s="4"/>
      <c r="I31" s="4"/>
      <c r="J31" s="4"/>
    </row>
    <row r="32" spans="2:10" hidden="1">
      <c r="B32" s="3" t="str">
        <f>'Application Info'!B32</f>
        <v>Santander Consumer Perú</v>
      </c>
      <c r="C32" s="4" t="str">
        <f>'Application Info'!C32</f>
        <v>Visor Cobranzas</v>
      </c>
      <c r="D32" s="4"/>
      <c r="E32" s="4"/>
      <c r="F32" s="4"/>
      <c r="G32" s="4"/>
      <c r="H32" s="4"/>
      <c r="I32" s="4"/>
      <c r="J32" s="4"/>
    </row>
    <row r="33" spans="2:10" hidden="1">
      <c r="B33" s="3" t="str">
        <f>'Application Info'!B33</f>
        <v>Santander Consumer Perú</v>
      </c>
      <c r="C33" s="4" t="str">
        <f>'Application Info'!C33</f>
        <v>Api Market</v>
      </c>
      <c r="D33" s="4"/>
      <c r="E33" s="4" t="s">
        <v>568</v>
      </c>
      <c r="F33" s="4"/>
      <c r="G33" s="4"/>
      <c r="H33" s="4"/>
      <c r="I33" s="4"/>
      <c r="J33" s="4"/>
    </row>
    <row r="34" spans="2:10" hidden="1">
      <c r="B34" s="3" t="str">
        <f>'Application Info'!B34</f>
        <v>Santander Consumer Perú</v>
      </c>
      <c r="C34" s="4" t="str">
        <f>'Application Info'!C34</f>
        <v>AMLUpdate - Name Screening</v>
      </c>
      <c r="D34" s="4"/>
      <c r="E34" s="4" t="s">
        <v>568</v>
      </c>
      <c r="F34" s="4"/>
      <c r="G34" s="4"/>
      <c r="H34" s="4"/>
      <c r="I34" s="4"/>
      <c r="J34" s="4"/>
    </row>
    <row r="35" spans="2:10" hidden="1">
      <c r="B35" s="3" t="str">
        <f>'Application Info'!B35</f>
        <v>Santander Consumer Perú</v>
      </c>
      <c r="C35" s="4" t="str">
        <f>'Application Info'!C35</f>
        <v>Facturación Electrónica - Auto</v>
      </c>
      <c r="D35" s="4"/>
      <c r="E35" s="4"/>
      <c r="F35" s="4"/>
      <c r="G35" s="4"/>
      <c r="H35" s="4"/>
      <c r="I35" s="4"/>
      <c r="J35" s="4"/>
    </row>
    <row r="36" spans="2:10" hidden="1">
      <c r="B36" s="3" t="str">
        <f>'Application Info'!B36</f>
        <v>Santander Consumer Perú</v>
      </c>
      <c r="C36" s="4" t="str">
        <f>'Application Info'!C36</f>
        <v>Portal Web Público</v>
      </c>
      <c r="D36" s="4"/>
      <c r="E36" s="4"/>
      <c r="F36" s="4"/>
      <c r="G36" s="4"/>
      <c r="H36" s="4"/>
      <c r="I36" s="4"/>
      <c r="J36" s="4"/>
    </row>
    <row r="37" spans="2:10" hidden="1">
      <c r="B37" s="3" t="str">
        <f>'Application Info'!B37</f>
        <v>Santander Consumer Perú</v>
      </c>
      <c r="C37" s="4" t="str">
        <f>'Application Info'!C37</f>
        <v>SAP ByDesign - ERP</v>
      </c>
      <c r="D37" s="4"/>
      <c r="E37" s="4"/>
      <c r="F37" s="4"/>
      <c r="G37" s="4"/>
      <c r="H37" s="4"/>
      <c r="I37" s="4"/>
      <c r="J37" s="4"/>
    </row>
    <row r="38" spans="2:10" hidden="1">
      <c r="B38" s="3" t="str">
        <f>'Application Info'!B38</f>
        <v>Santander Consumer Perú</v>
      </c>
      <c r="C38" s="4" t="str">
        <f>'Application Info'!C38</f>
        <v>Bantotal - Core Bancario</v>
      </c>
      <c r="D38" s="4"/>
      <c r="E38" s="4"/>
      <c r="F38" s="4"/>
      <c r="G38" s="4"/>
      <c r="H38" s="4"/>
      <c r="I38" s="4"/>
      <c r="J38" s="4"/>
    </row>
    <row r="39" spans="2:10" hidden="1">
      <c r="B39" s="3" t="str">
        <f>'Application Info'!B39</f>
        <v>Santander Consumer Perú</v>
      </c>
      <c r="C39" s="4" t="str">
        <f>'Application Info'!C39</f>
        <v>Motor de Crédito</v>
      </c>
      <c r="D39" s="4"/>
      <c r="E39" s="4"/>
      <c r="F39" s="4"/>
      <c r="G39" s="4"/>
      <c r="H39" s="4"/>
      <c r="I39" s="4"/>
      <c r="J39" s="4"/>
    </row>
    <row r="40" spans="2:10" hidden="1">
      <c r="B40" s="3" t="str">
        <f>'Application Info'!B40</f>
        <v>Santander Consumer Perú</v>
      </c>
      <c r="C40" s="4" t="str">
        <f>'Application Info'!C40</f>
        <v>Santi</v>
      </c>
      <c r="D40" s="4"/>
      <c r="E40" s="4"/>
      <c r="F40" s="4"/>
      <c r="G40" s="4"/>
      <c r="H40" s="4"/>
      <c r="I40" s="4"/>
      <c r="J40" s="4"/>
    </row>
    <row r="41" spans="2:10" hidden="1">
      <c r="B41" s="3" t="str">
        <f>'Application Info'!B41</f>
        <v>Santander Consumer Perú</v>
      </c>
      <c r="C41" s="4" t="str">
        <f>'Application Info'!C41</f>
        <v>Seguros La Positiva</v>
      </c>
      <c r="D41" s="4"/>
      <c r="E41" s="4"/>
      <c r="F41" s="4"/>
      <c r="G41" s="4"/>
      <c r="H41" s="4"/>
      <c r="I41" s="4"/>
      <c r="J41" s="4"/>
    </row>
    <row r="42" spans="2:10" hidden="1">
      <c r="B42" s="3" t="str">
        <f>'Application Info'!B42</f>
        <v>Santander Consumer Perú</v>
      </c>
      <c r="C42" s="4" t="str">
        <f>'Application Info'!C42</f>
        <v>Equifax</v>
      </c>
      <c r="D42" s="4"/>
      <c r="E42" s="4"/>
      <c r="F42" s="4"/>
      <c r="G42" s="4"/>
      <c r="H42" s="4"/>
      <c r="I42" s="4"/>
      <c r="J42" s="4"/>
    </row>
    <row r="43" spans="2:10" hidden="1">
      <c r="B43" s="3" t="str">
        <f>'Application Info'!B43</f>
        <v>Santander Consumer Perú</v>
      </c>
      <c r="C43" s="4" t="str">
        <f>'Application Info'!C43</f>
        <v>Docuclass</v>
      </c>
      <c r="D43" s="4"/>
      <c r="E43" s="4"/>
      <c r="F43" s="4"/>
      <c r="G43" s="4"/>
      <c r="H43" s="4"/>
      <c r="I43" s="4"/>
      <c r="J43" s="4"/>
    </row>
    <row r="44" spans="2:10" hidden="1">
      <c r="B44" s="3" t="str">
        <f>'Application Info'!B44</f>
        <v>Santander Consumer Perú</v>
      </c>
      <c r="C44" s="4" t="str">
        <f>'Application Info'!C44</f>
        <v>Seir</v>
      </c>
      <c r="D44" s="4"/>
      <c r="E44" s="4"/>
      <c r="F44" s="4"/>
      <c r="G44" s="4"/>
      <c r="H44" s="4"/>
      <c r="I44" s="4"/>
      <c r="J44" s="4"/>
    </row>
    <row r="45" spans="2:10" hidden="1">
      <c r="B45" s="3" t="str">
        <f>'Application Info'!B45</f>
        <v>Santander Consumer Perú</v>
      </c>
      <c r="C45" s="4" t="str">
        <f>'Application Info'!C45</f>
        <v>Pomelo</v>
      </c>
      <c r="D45" s="4"/>
      <c r="E45" s="4"/>
      <c r="F45" s="4"/>
      <c r="G45" s="4"/>
      <c r="H45" s="4"/>
      <c r="I45" s="4"/>
      <c r="J45" s="4"/>
    </row>
    <row r="46" spans="2:10" hidden="1">
      <c r="B46" s="3" t="str">
        <f>'Application Info'!B46</f>
        <v>Santander Consumer Perú</v>
      </c>
      <c r="C46" s="4" t="str">
        <f>'Application Info'!C46</f>
        <v>Izypay</v>
      </c>
      <c r="D46" s="4"/>
      <c r="E46" s="4"/>
      <c r="F46" s="4"/>
      <c r="G46" s="4"/>
      <c r="H46" s="4"/>
      <c r="I46" s="4"/>
      <c r="J46" s="4"/>
    </row>
    <row r="47" spans="2:10" hidden="1">
      <c r="B47" s="3" t="str">
        <f>'Application Info'!B47</f>
        <v>Santander Consumer Perú</v>
      </c>
      <c r="C47" s="4" t="str">
        <f>'Application Info'!C47</f>
        <v>Kasnet</v>
      </c>
      <c r="D47" s="4"/>
      <c r="E47" s="4"/>
      <c r="F47" s="4"/>
      <c r="G47" s="4"/>
      <c r="H47" s="4"/>
      <c r="I47" s="4"/>
      <c r="J47" s="4"/>
    </row>
    <row r="48" spans="2:10" hidden="1">
      <c r="B48" s="3" t="str">
        <f>'Application Info'!B48</f>
        <v>Santander Consumer Perú</v>
      </c>
      <c r="C48" s="4" t="str">
        <f>'Application Info'!C48</f>
        <v>ChatBot</v>
      </c>
      <c r="D48" s="4"/>
      <c r="E48" s="4"/>
      <c r="F48" s="4"/>
      <c r="G48" s="4"/>
      <c r="H48" s="4"/>
      <c r="I48" s="4"/>
      <c r="J48" s="4"/>
    </row>
    <row r="49" spans="2:10" hidden="1">
      <c r="B49" s="3" t="str">
        <f>'Application Info'!B49</f>
        <v>Santander Consumer Perú</v>
      </c>
      <c r="C49" s="4" t="str">
        <f>'Application Info'!C49</f>
        <v>Data Riesgos</v>
      </c>
      <c r="D49" s="4"/>
      <c r="E49" s="4"/>
      <c r="F49" s="4"/>
      <c r="G49" s="4"/>
      <c r="H49" s="4"/>
      <c r="I49" s="4"/>
      <c r="J49" s="4"/>
    </row>
    <row r="50" spans="2:10" hidden="1">
      <c r="B50" s="3" t="str">
        <f>'Application Info'!B50</f>
        <v>Santander Consumer Perú</v>
      </c>
      <c r="C50" s="4" t="str">
        <f>'Application Info'!C50</f>
        <v>API OTP</v>
      </c>
      <c r="D50" s="4"/>
      <c r="E50" s="4" t="s">
        <v>568</v>
      </c>
      <c r="F50" s="4"/>
      <c r="G50" s="4"/>
      <c r="H50" s="4"/>
      <c r="I50" s="4"/>
      <c r="J50" s="4"/>
    </row>
    <row r="51" spans="2:10" hidden="1">
      <c r="B51" s="3" t="str">
        <f>'Application Info'!B51</f>
        <v>Santander Consumer Perú</v>
      </c>
      <c r="C51" s="4" t="str">
        <f>'Application Info'!C51</f>
        <v>API Portal</v>
      </c>
      <c r="D51" s="4"/>
      <c r="E51" s="4" t="s">
        <v>568</v>
      </c>
      <c r="F51" s="4"/>
      <c r="G51" s="4"/>
      <c r="H51" s="4"/>
      <c r="I51" s="4"/>
      <c r="J51" s="4"/>
    </row>
    <row r="52" spans="2:10" hidden="1">
      <c r="B52" s="3" t="str">
        <f>'Application Info'!B52</f>
        <v>Santander Consumer Perú</v>
      </c>
      <c r="C52" s="4" t="str">
        <f>'Application Info'!C52</f>
        <v>Venta Cartera</v>
      </c>
      <c r="D52" s="4"/>
      <c r="E52" s="4"/>
      <c r="F52" s="4"/>
      <c r="G52" s="4"/>
      <c r="H52" s="4"/>
      <c r="I52" s="4"/>
      <c r="J52" s="4"/>
    </row>
    <row r="53" spans="2:10" hidden="1">
      <c r="B53" s="3" t="str">
        <f>'Application Info'!B53</f>
        <v>Santander Perú</v>
      </c>
      <c r="C53" s="4" t="str">
        <f>'Application Info'!C53</f>
        <v>Virtual Assistant P&amp;C</v>
      </c>
      <c r="D53" s="4"/>
      <c r="E53" s="4"/>
      <c r="F53" s="4"/>
      <c r="G53" s="4"/>
      <c r="H53" s="4"/>
      <c r="I53" s="4"/>
      <c r="J53" s="4"/>
    </row>
    <row r="54" spans="2:10" hidden="1">
      <c r="B54" s="3" t="str">
        <f>'Application Info'!B54</f>
        <v>Santander Perú</v>
      </c>
      <c r="C54" s="4" t="str">
        <f>'Application Info'!C54</f>
        <v>Masterbase</v>
      </c>
      <c r="D54" s="4"/>
      <c r="E54" s="4"/>
      <c r="F54" s="4"/>
      <c r="G54" s="4"/>
      <c r="H54" s="4"/>
      <c r="I54" s="4"/>
      <c r="J54" s="4"/>
    </row>
    <row r="55" spans="2:10" hidden="1">
      <c r="B55" s="3" t="str">
        <f>'Application Info'!B55</f>
        <v>Santander Perú</v>
      </c>
      <c r="C55" s="4" t="str">
        <f>'Application Info'!C55</f>
        <v>Data Analytics</v>
      </c>
      <c r="D55" s="4"/>
      <c r="E55" s="4"/>
      <c r="F55" s="4"/>
      <c r="G55" s="4"/>
      <c r="H55" s="4"/>
      <c r="I55" s="4"/>
      <c r="J55" s="4"/>
    </row>
    <row r="56" spans="2:10" hidden="1">
      <c r="B56" s="3" t="str">
        <f>'Application Info'!B56</f>
        <v>Santander Perú</v>
      </c>
      <c r="C56" s="4" t="str">
        <f>'Application Info'!C56</f>
        <v>Gestión Portafolio PMO</v>
      </c>
      <c r="D56" s="4"/>
      <c r="E56" s="4"/>
      <c r="F56" s="4"/>
      <c r="G56" s="4"/>
      <c r="H56" s="4"/>
      <c r="I56" s="4"/>
      <c r="J56" s="4"/>
    </row>
    <row r="57" spans="2:10" hidden="1">
      <c r="B57" s="3" t="str">
        <f>'Application Info'!B57</f>
        <v>Santander Perú</v>
      </c>
      <c r="C57" s="4" t="str">
        <f>'Application Info'!C57</f>
        <v>Diloo</v>
      </c>
      <c r="D57" s="4"/>
      <c r="E57" s="4"/>
      <c r="F57" s="4"/>
      <c r="G57" s="4"/>
      <c r="H57" s="4"/>
      <c r="I57" s="4"/>
      <c r="J57" s="4"/>
    </row>
    <row r="58" spans="2:10" hidden="1">
      <c r="B58" s="3" t="str">
        <f>'Application Info'!B58</f>
        <v>Santander Perú</v>
      </c>
      <c r="C58" s="4" t="str">
        <f>'Application Info'!C58</f>
        <v>Lynx</v>
      </c>
      <c r="D58" s="4"/>
      <c r="E58" s="4"/>
      <c r="F58" s="4"/>
      <c r="G58" s="4"/>
      <c r="H58" s="4"/>
      <c r="I58" s="4"/>
      <c r="J58" s="4"/>
    </row>
    <row r="59" spans="2:10">
      <c r="B59" s="3" t="str">
        <f>'Application Info'!B59</f>
        <v>Santander Perú</v>
      </c>
      <c r="C59" s="4" t="str">
        <f>'Application Info'!C59</f>
        <v xml:space="preserve">Astara/SK Berge </v>
      </c>
      <c r="D59" s="4" t="s">
        <v>567</v>
      </c>
      <c r="E59" s="4" t="s">
        <v>562</v>
      </c>
      <c r="F59" s="4"/>
      <c r="G59" s="4" t="s">
        <v>120</v>
      </c>
      <c r="H59" s="4" t="s">
        <v>565</v>
      </c>
      <c r="I59" s="4" t="s">
        <v>904</v>
      </c>
      <c r="J59" s="4" t="s">
        <v>67</v>
      </c>
    </row>
    <row r="60" spans="2:10" hidden="1">
      <c r="B60" s="3" t="str">
        <f>'Application Info'!B60</f>
        <v>Santander Perú</v>
      </c>
      <c r="C60" s="4" t="str">
        <f>'Application Info'!C60</f>
        <v>Factoring Data Lake Leads</v>
      </c>
      <c r="D60" s="4"/>
      <c r="E60" s="4"/>
      <c r="F60" s="4"/>
      <c r="G60" s="4"/>
      <c r="H60" s="4"/>
      <c r="I60" s="4"/>
      <c r="J60" s="4"/>
    </row>
    <row r="61" spans="2:10" hidden="1">
      <c r="B61" s="3" t="str">
        <f>'Application Info'!B61</f>
        <v>Santander Perú</v>
      </c>
      <c r="C61" s="4" t="str">
        <f>'Application Info'!C61</f>
        <v>Monitor Plus (ETL) - Transaction Monitorig</v>
      </c>
      <c r="D61" s="4"/>
      <c r="E61" s="4"/>
      <c r="F61" s="4"/>
      <c r="G61" s="4"/>
      <c r="H61" s="4"/>
      <c r="I61" s="4"/>
      <c r="J61" s="4"/>
    </row>
    <row r="62" spans="2:10" hidden="1">
      <c r="B62" s="3" t="str">
        <f>'Application Info'!B62</f>
        <v>Santander Perú</v>
      </c>
      <c r="C62" s="4" t="str">
        <f>'Application Info'!C62</f>
        <v>Dashboards Analytics</v>
      </c>
      <c r="D62" s="4"/>
      <c r="E62" s="4"/>
      <c r="F62" s="4"/>
      <c r="G62" s="4"/>
      <c r="H62" s="4"/>
      <c r="I62" s="4"/>
      <c r="J62" s="4"/>
    </row>
    <row r="63" spans="2:10" hidden="1">
      <c r="B63" s="3" t="str">
        <f>'Application Info'!B63</f>
        <v>Santander Perú</v>
      </c>
      <c r="C63" s="4" t="str">
        <f>'Application Info'!C63</f>
        <v>Loan Tape</v>
      </c>
      <c r="D63" s="4"/>
      <c r="E63" s="4"/>
      <c r="F63" s="4"/>
      <c r="G63" s="4"/>
      <c r="H63" s="4"/>
      <c r="I63" s="4"/>
      <c r="J63" s="4"/>
    </row>
    <row r="64" spans="2:10" hidden="1">
      <c r="B64" s="3" t="str">
        <f>'Application Info'!B64</f>
        <v>Santander Perú</v>
      </c>
      <c r="C64" s="4" t="str">
        <f>'Application Info'!C64</f>
        <v>Hiperfirmas</v>
      </c>
      <c r="D64" s="4"/>
      <c r="E64" s="4"/>
      <c r="F64" s="4"/>
      <c r="G64" s="4"/>
      <c r="H64" s="4"/>
      <c r="I64" s="4"/>
      <c r="J64" s="4"/>
    </row>
    <row r="65" spans="2:10" hidden="1">
      <c r="B65" s="3" t="str">
        <f>'Application Info'!B65</f>
        <v>Santander Perú</v>
      </c>
      <c r="C65" s="4" t="str">
        <f>'Application Info'!C65</f>
        <v>Web Onboarding</v>
      </c>
      <c r="D65" s="4"/>
      <c r="E65" s="4"/>
      <c r="F65" s="4"/>
      <c r="G65" s="4"/>
      <c r="H65" s="4"/>
      <c r="I65" s="4"/>
      <c r="J65" s="4"/>
    </row>
    <row r="66" spans="2:10" hidden="1">
      <c r="B66" s="3" t="str">
        <f>'Application Info'!B66</f>
        <v>Santander Perú</v>
      </c>
      <c r="C66" s="4" t="str">
        <f>'Application Info'!C66</f>
        <v>LBTR Novatronic</v>
      </c>
      <c r="D66" s="4"/>
      <c r="E66" s="4"/>
      <c r="F66" s="4"/>
      <c r="G66" s="4"/>
      <c r="H66" s="4"/>
      <c r="I66" s="4"/>
      <c r="J66" s="4"/>
    </row>
    <row r="67" spans="2:10" hidden="1">
      <c r="B67" s="3" t="str">
        <f>'Application Info'!B67</f>
        <v>Santander Perú</v>
      </c>
      <c r="C67" s="4" t="str">
        <f>'Application Info'!C67</f>
        <v>Web Pago Interno</v>
      </c>
      <c r="D67" s="4"/>
      <c r="E67" s="4"/>
      <c r="F67" s="4"/>
      <c r="G67" s="4"/>
      <c r="H67" s="4"/>
      <c r="I67" s="4"/>
      <c r="J67" s="4"/>
    </row>
    <row r="68" spans="2:10" hidden="1">
      <c r="B68" s="3" t="str">
        <f>'Application Info'!B68</f>
        <v>Santander Perú</v>
      </c>
      <c r="C68" s="4" t="str">
        <f>'Application Info'!C68</f>
        <v>Retenciones SUNAT</v>
      </c>
      <c r="D68" s="4"/>
      <c r="E68" s="4"/>
      <c r="F68" s="4"/>
      <c r="G68" s="4"/>
      <c r="H68" s="4"/>
      <c r="I68" s="4"/>
      <c r="J68" s="4"/>
    </row>
    <row r="69" spans="2:10" hidden="1">
      <c r="B69" s="3" t="str">
        <f>'Application Info'!B69</f>
        <v>Santander Perú</v>
      </c>
      <c r="C69" s="4" t="str">
        <f>'Application Info'!C69</f>
        <v>Facturas Negociables</v>
      </c>
      <c r="D69" s="4"/>
      <c r="E69" s="4"/>
      <c r="F69" s="4"/>
      <c r="G69" s="4"/>
      <c r="H69" s="4"/>
      <c r="I69" s="4"/>
      <c r="J69" s="4"/>
    </row>
    <row r="70" spans="2:10" hidden="1">
      <c r="B70" s="3" t="str">
        <f>'Application Info'!B70</f>
        <v>Santander Perú</v>
      </c>
      <c r="C70" s="4" t="str">
        <f>'Application Info'!C70</f>
        <v>GDS Modellica</v>
      </c>
      <c r="D70" s="4"/>
      <c r="E70" s="4"/>
      <c r="F70" s="4"/>
      <c r="G70" s="4"/>
      <c r="H70" s="4"/>
      <c r="I70" s="4"/>
      <c r="J70" s="4"/>
    </row>
    <row r="71" spans="2:10" hidden="1">
      <c r="B71" s="3" t="str">
        <f>'Application Info'!B71</f>
        <v>Santander Perú</v>
      </c>
      <c r="C71" s="4" t="str">
        <f>'Application Info'!C71</f>
        <v xml:space="preserve">Qlik Sense </v>
      </c>
      <c r="D71" s="4"/>
      <c r="E71" s="4"/>
      <c r="F71" s="4"/>
      <c r="G71" s="4"/>
      <c r="H71" s="4"/>
      <c r="I71" s="4"/>
      <c r="J71" s="4"/>
    </row>
    <row r="72" spans="2:10" hidden="1">
      <c r="B72" s="3" t="str">
        <f>'Application Info'!B72</f>
        <v>Santander Perú</v>
      </c>
      <c r="C72" s="4" t="str">
        <f>'Application Info'!C72</f>
        <v>Qlikview</v>
      </c>
      <c r="D72" s="4"/>
      <c r="E72" s="4"/>
      <c r="F72" s="4"/>
      <c r="G72" s="4"/>
      <c r="H72" s="4"/>
      <c r="I72" s="4"/>
      <c r="J72" s="4"/>
    </row>
    <row r="73" spans="2:10" hidden="1">
      <c r="B73" s="3" t="str">
        <f>'Application Info'!B73</f>
        <v>Santander Perú</v>
      </c>
      <c r="C73" s="4" t="str">
        <f>'Application Info'!C73</f>
        <v>DATATEC</v>
      </c>
      <c r="D73" s="4"/>
      <c r="E73" s="4"/>
      <c r="F73" s="4"/>
      <c r="G73" s="4"/>
      <c r="H73" s="4"/>
      <c r="I73" s="4"/>
      <c r="J73" s="4"/>
    </row>
    <row r="74" spans="2:10" hidden="1">
      <c r="B74" s="3" t="str">
        <f>'Application Info'!B74</f>
        <v>Santander Perú</v>
      </c>
      <c r="C74" s="4" t="str">
        <f>'Application Info'!C74</f>
        <v>Data Lakehouse Corporativo</v>
      </c>
      <c r="D74" s="4"/>
      <c r="E74" s="4"/>
      <c r="F74" s="4"/>
      <c r="G74" s="4"/>
      <c r="H74" s="4"/>
      <c r="I74" s="4"/>
      <c r="J74" s="4"/>
    </row>
    <row r="75" spans="2:10" hidden="1">
      <c r="B75" s="3" t="str">
        <f>'Application Info'!B75</f>
        <v>Santander Perú</v>
      </c>
      <c r="C75" s="4" t="str">
        <f>'Application Info'!C75</f>
        <v>Lista Negativa</v>
      </c>
      <c r="D75" s="4"/>
      <c r="E75" s="4"/>
      <c r="F75" s="4"/>
      <c r="G75" s="4"/>
      <c r="H75" s="4"/>
      <c r="I75" s="4"/>
      <c r="J75" s="4"/>
    </row>
    <row r="76" spans="2:10" hidden="1">
      <c r="B76" s="3" t="str">
        <f>'Application Info'!B76</f>
        <v>Santander Perú</v>
      </c>
      <c r="C76" s="4" t="str">
        <f>'Application Info'!C76</f>
        <v>Reporte Helios</v>
      </c>
      <c r="D76" s="4"/>
      <c r="E76" s="4"/>
      <c r="F76" s="4"/>
      <c r="G76" s="4"/>
      <c r="H76" s="4"/>
      <c r="I76" s="4"/>
      <c r="J76" s="4"/>
    </row>
    <row r="77" spans="2:10" hidden="1">
      <c r="B77" s="3" t="str">
        <f>'Application Info'!B77</f>
        <v>Santander Perú</v>
      </c>
      <c r="C77" s="4" t="str">
        <f>'Application Info'!C77</f>
        <v>WorldSys</v>
      </c>
      <c r="D77" s="4"/>
      <c r="E77" s="4"/>
      <c r="F77" s="4"/>
      <c r="G77" s="4"/>
      <c r="H77" s="4"/>
      <c r="I77" s="4"/>
      <c r="J77" s="4"/>
    </row>
    <row r="78" spans="2:10" hidden="1">
      <c r="B78" s="3" t="str">
        <f>'Application Info'!B78</f>
        <v>Santander Perú</v>
      </c>
      <c r="C78" s="4" t="str">
        <f>'Application Info'!C78</f>
        <v>AMLUpdate - Name Screening</v>
      </c>
      <c r="D78" s="4"/>
      <c r="E78" s="4" t="s">
        <v>568</v>
      </c>
      <c r="F78" s="4"/>
      <c r="G78" s="4"/>
      <c r="H78" s="4"/>
      <c r="I78" s="4"/>
      <c r="J78" s="4"/>
    </row>
    <row r="79" spans="2:10" hidden="1">
      <c r="B79" s="3" t="str">
        <f>'Application Info'!B79</f>
        <v>Santander Perú</v>
      </c>
      <c r="C79" s="4" t="str">
        <f>'Application Info'!C79</f>
        <v>RatingPlus</v>
      </c>
      <c r="D79" s="4"/>
      <c r="E79" s="4"/>
      <c r="F79" s="4"/>
      <c r="G79" s="4"/>
      <c r="H79" s="4"/>
      <c r="I79" s="4"/>
      <c r="J79" s="4"/>
    </row>
    <row r="80" spans="2:10" hidden="1">
      <c r="B80" s="3" t="str">
        <f>'Application Info'!B80</f>
        <v>Santander Perú</v>
      </c>
      <c r="C80" s="4" t="str">
        <f>'Application Info'!C80</f>
        <v>Zapier</v>
      </c>
      <c r="D80" s="4"/>
      <c r="E80" s="4"/>
      <c r="F80" s="4"/>
      <c r="G80" s="4"/>
      <c r="H80" s="4"/>
      <c r="I80" s="4"/>
      <c r="J80" s="4"/>
    </row>
    <row r="81" spans="2:10" hidden="1">
      <c r="B81" s="3" t="str">
        <f>'Application Info'!B81</f>
        <v>Santander Perú</v>
      </c>
      <c r="C81" s="4" t="str">
        <f>'Application Info'!C81</f>
        <v xml:space="preserve">SAP ByDesign </v>
      </c>
      <c r="D81" s="4"/>
      <c r="E81" s="4"/>
      <c r="F81" s="4"/>
      <c r="G81" s="4"/>
      <c r="H81" s="4"/>
      <c r="I81" s="4"/>
      <c r="J81" s="4"/>
    </row>
    <row r="82" spans="2:10" hidden="1">
      <c r="B82" s="3" t="str">
        <f>'Application Info'!B82</f>
        <v>Santander Perú</v>
      </c>
      <c r="C82" s="4" t="str">
        <f>'Application Info'!C82</f>
        <v>Web Institucional</v>
      </c>
      <c r="D82" s="4"/>
      <c r="E82" s="4"/>
      <c r="F82" s="4"/>
      <c r="G82" s="4"/>
      <c r="H82" s="4"/>
      <c r="I82" s="4"/>
      <c r="J82" s="4"/>
    </row>
    <row r="83" spans="2:10" hidden="1">
      <c r="B83" s="3" t="str">
        <f>'Application Info'!B83</f>
        <v>Santander Perú</v>
      </c>
      <c r="C83" s="4" t="str">
        <f>'Application Info'!C83</f>
        <v>Motor TOP</v>
      </c>
      <c r="D83" s="4"/>
      <c r="E83" s="4"/>
      <c r="F83" s="4"/>
      <c r="G83" s="4"/>
      <c r="H83" s="4"/>
      <c r="I83" s="4"/>
      <c r="J83" s="4"/>
    </row>
    <row r="84" spans="2:10" hidden="1">
      <c r="B84" s="3" t="str">
        <f>'Application Info'!B84</f>
        <v>Santander Perú</v>
      </c>
      <c r="C84" s="4" t="str">
        <f>'Application Info'!C84</f>
        <v>Reporte Crediticio de Deudores</v>
      </c>
      <c r="D84" s="4"/>
      <c r="E84" s="4"/>
      <c r="F84" s="4"/>
      <c r="G84" s="4"/>
      <c r="H84" s="4"/>
      <c r="I84" s="4"/>
      <c r="J84" s="4"/>
    </row>
    <row r="85" spans="2:10" hidden="1">
      <c r="B85" s="3" t="str">
        <f>'Application Info'!B85</f>
        <v>Santander Perú</v>
      </c>
      <c r="C85" s="4" t="str">
        <f>'Application Info'!C85</f>
        <v>Nazca AS400</v>
      </c>
      <c r="D85" s="4"/>
      <c r="E85" s="4"/>
      <c r="F85" s="4"/>
      <c r="G85" s="4"/>
      <c r="H85" s="4"/>
      <c r="I85" s="4"/>
      <c r="J85" s="4"/>
    </row>
    <row r="86" spans="2:10" hidden="1">
      <c r="B86" s="3" t="str">
        <f>'Application Info'!B86</f>
        <v>Santander Perú</v>
      </c>
      <c r="C86" s="4" t="str">
        <f>'Application Info'!C86</f>
        <v>Genesys Cloud</v>
      </c>
      <c r="D86" s="4"/>
      <c r="E86" s="4"/>
      <c r="F86" s="4"/>
      <c r="G86" s="4"/>
      <c r="H86" s="4"/>
      <c r="I86" s="4"/>
      <c r="J86" s="4"/>
    </row>
    <row r="87" spans="2:10" hidden="1">
      <c r="B87" s="3">
        <f>'Application Info'!B87</f>
        <v>0</v>
      </c>
      <c r="C87" s="4">
        <f>'Application Info'!C87</f>
        <v>0</v>
      </c>
      <c r="D87" s="4"/>
      <c r="E87" s="4"/>
      <c r="F87" s="4"/>
      <c r="G87" s="4"/>
      <c r="H87" s="4"/>
      <c r="I87" s="4"/>
      <c r="J87" s="4"/>
    </row>
    <row r="88" spans="2:10" hidden="1">
      <c r="B88" s="3">
        <f>'Application Info'!B88</f>
        <v>0</v>
      </c>
      <c r="C88" s="4">
        <f>'Application Info'!C88</f>
        <v>0</v>
      </c>
      <c r="D88" s="4"/>
      <c r="E88" s="4"/>
      <c r="F88" s="4"/>
      <c r="G88" s="4"/>
      <c r="H88" s="4"/>
      <c r="I88" s="4"/>
      <c r="J88" s="4"/>
    </row>
    <row r="89" spans="2:10" hidden="1">
      <c r="B89" s="3">
        <f>'Application Info'!B89</f>
        <v>0</v>
      </c>
      <c r="C89" s="4">
        <f>'Application Info'!C89</f>
        <v>0</v>
      </c>
      <c r="D89" s="4"/>
      <c r="E89" s="4"/>
      <c r="F89" s="4"/>
      <c r="G89" s="4"/>
      <c r="H89" s="4"/>
      <c r="I89" s="4"/>
      <c r="J89" s="4"/>
    </row>
    <row r="90" spans="2:10" hidden="1">
      <c r="B90" s="3">
        <f>'Application Info'!B90</f>
        <v>0</v>
      </c>
      <c r="C90" s="4">
        <f>'Application Info'!C90</f>
        <v>0</v>
      </c>
      <c r="D90" s="4"/>
      <c r="E90" s="4"/>
      <c r="F90" s="4"/>
      <c r="G90" s="4"/>
      <c r="H90" s="4"/>
      <c r="I90" s="4"/>
      <c r="J90" s="4"/>
    </row>
    <row r="91" spans="2:10" hidden="1">
      <c r="B91" s="3">
        <f>'Application Info'!B91</f>
        <v>0</v>
      </c>
      <c r="C91" s="4">
        <f>'Application Info'!C91</f>
        <v>0</v>
      </c>
      <c r="D91" s="4"/>
      <c r="E91" s="4"/>
      <c r="F91" s="4"/>
      <c r="G91" s="4"/>
      <c r="H91" s="4"/>
      <c r="I91" s="4"/>
      <c r="J91" s="4"/>
    </row>
    <row r="92" spans="2:10" hidden="1">
      <c r="B92" s="3">
        <f>'Application Info'!B92</f>
        <v>0</v>
      </c>
      <c r="C92" s="4">
        <f>'Application Info'!C92</f>
        <v>0</v>
      </c>
      <c r="D92" s="4"/>
      <c r="E92" s="4"/>
      <c r="F92" s="4"/>
      <c r="G92" s="4"/>
      <c r="H92" s="4"/>
      <c r="I92" s="4"/>
      <c r="J92" s="4"/>
    </row>
    <row r="93" spans="2:10" hidden="1">
      <c r="B93" s="3">
        <f>'Application Info'!B93</f>
        <v>0</v>
      </c>
      <c r="C93" s="4">
        <f>'Application Info'!C93</f>
        <v>0</v>
      </c>
      <c r="D93" s="4"/>
      <c r="E93" s="4"/>
      <c r="F93" s="4"/>
      <c r="G93" s="4"/>
      <c r="H93" s="4"/>
      <c r="I93" s="4"/>
      <c r="J93" s="4"/>
    </row>
    <row r="94" spans="2:10" hidden="1">
      <c r="B94" s="3">
        <f>'Application Info'!B94</f>
        <v>0</v>
      </c>
      <c r="C94" s="4">
        <f>'Application Info'!C94</f>
        <v>0</v>
      </c>
      <c r="D94" s="4"/>
      <c r="E94" s="4"/>
      <c r="F94" s="4"/>
      <c r="G94" s="4"/>
      <c r="H94" s="4"/>
      <c r="I94" s="4"/>
      <c r="J94" s="4"/>
    </row>
    <row r="95" spans="2:10" hidden="1">
      <c r="B95" s="3">
        <f>'Application Info'!B95</f>
        <v>0</v>
      </c>
      <c r="C95" s="4">
        <f>'Application Info'!C95</f>
        <v>0</v>
      </c>
      <c r="D95" s="4"/>
      <c r="E95" s="4"/>
      <c r="F95" s="4"/>
      <c r="G95" s="4"/>
      <c r="H95" s="4"/>
      <c r="I95" s="4"/>
      <c r="J95" s="4"/>
    </row>
    <row r="96" spans="2:10" hidden="1">
      <c r="B96" s="3">
        <f>'Application Info'!B96</f>
        <v>0</v>
      </c>
      <c r="C96" s="4">
        <f>'Application Info'!C96</f>
        <v>0</v>
      </c>
      <c r="D96" s="4"/>
      <c r="E96" s="4"/>
      <c r="F96" s="4"/>
      <c r="G96" s="4"/>
      <c r="H96" s="4"/>
      <c r="I96" s="4"/>
      <c r="J96" s="4"/>
    </row>
    <row r="97" spans="2:10" hidden="1">
      <c r="B97" s="3">
        <f>'Application Info'!B97</f>
        <v>0</v>
      </c>
      <c r="C97" s="4">
        <f>'Application Info'!C97</f>
        <v>0</v>
      </c>
      <c r="D97" s="4"/>
      <c r="E97" s="4"/>
      <c r="F97" s="4"/>
      <c r="G97" s="4"/>
      <c r="H97" s="4"/>
      <c r="I97" s="4"/>
      <c r="J97" s="4"/>
    </row>
    <row r="98" spans="2:10" hidden="1">
      <c r="B98" s="3">
        <f>'Application Info'!B98</f>
        <v>0</v>
      </c>
      <c r="C98" s="4">
        <f>'Application Info'!C98</f>
        <v>0</v>
      </c>
      <c r="D98" s="4"/>
      <c r="E98" s="4"/>
      <c r="F98" s="4"/>
      <c r="G98" s="4"/>
      <c r="H98" s="4"/>
      <c r="I98" s="4"/>
      <c r="J98" s="4"/>
    </row>
    <row r="99" spans="2:10" hidden="1">
      <c r="B99" s="3">
        <f>'Application Info'!B99</f>
        <v>0</v>
      </c>
      <c r="C99" s="4">
        <f>'Application Info'!C99</f>
        <v>0</v>
      </c>
      <c r="D99" s="4"/>
      <c r="E99" s="4"/>
      <c r="F99" s="4"/>
      <c r="G99" s="4"/>
      <c r="H99" s="4"/>
      <c r="I99" s="4"/>
      <c r="J99" s="4"/>
    </row>
    <row r="100" spans="2:10" hidden="1">
      <c r="B100" s="3">
        <f>'Application Info'!B100</f>
        <v>0</v>
      </c>
      <c r="C100" s="4">
        <f>'Application Info'!C100</f>
        <v>0</v>
      </c>
      <c r="D100" s="4"/>
      <c r="E100" s="4"/>
      <c r="F100" s="4"/>
      <c r="G100" s="4"/>
      <c r="H100" s="4"/>
      <c r="I100" s="4"/>
      <c r="J100" s="4"/>
    </row>
    <row r="24998" spans="201:202">
      <c r="GS24998" s="3" t="s">
        <v>66</v>
      </c>
      <c r="GT24998" s="3">
        <v>1</v>
      </c>
    </row>
    <row r="64997" spans="250:250">
      <c r="IP64997" s="3" t="s">
        <v>67</v>
      </c>
    </row>
    <row r="64998" spans="250:250">
      <c r="IP64998" s="3" t="s">
        <v>67</v>
      </c>
    </row>
  </sheetData>
  <autoFilter ref="A1:IP100" xr:uid="{3ABF899B-4D39-4C4D-859C-E9EB8F72683D}">
    <filterColumn colId="2">
      <filters>
        <filter val="Astara/SK Berge"/>
      </filters>
    </filterColumn>
  </autoFilter>
  <dataValidations count="12">
    <dataValidation type="list" allowBlank="1" sqref="J101:J9998" xr:uid="{A245772B-63B7-46A2-9BC4-073C9B3F4FE8}">
      <formula1>Application_Load_Variation</formula1>
    </dataValidation>
    <dataValidation type="list" allowBlank="1" sqref="H101:H9998" xr:uid="{8B10CD26-4C6E-40B6-88FA-37534188F55B}">
      <formula1>Stability_Performance_Issue</formula1>
    </dataValidation>
    <dataValidation type="list" allowBlank="1" sqref="G101:G9998" xr:uid="{9EE73788-58B1-4DBA-BB5A-7E767F395D75}">
      <formula1>Applicatino_response</formula1>
    </dataValidation>
    <dataValidation type="list" allowBlank="1" sqref="F101:F9998" xr:uid="{435FCAC7-EF8B-47A4-9170-3B92ABFFA8AB}">
      <formula1>Usage_growth_trend</formula1>
    </dataValidation>
    <dataValidation type="list" allowBlank="1" sqref="E101:E9998" xr:uid="{98E7DE82-6693-4891-92EF-2D69792A3B42}">
      <formula1>Audience</formula1>
    </dataValidation>
    <dataValidation type="list" allowBlank="1" sqref="D101:D9998" xr:uid="{D500F6EA-B13D-40D1-BBBA-394FBCB01BBE}">
      <formula1>No_of_App_Users</formula1>
    </dataValidation>
    <dataValidation type="list" allowBlank="1" sqref="D2:D100" xr:uid="{7C06F3A7-10CE-43AB-8909-0C8888DD65C6}">
      <formula1>$GB$2:$GB$11</formula1>
    </dataValidation>
    <dataValidation type="list" allowBlank="1" sqref="E2:E100" xr:uid="{F9DE2969-8A4C-4640-B99C-39F5FE12F819}">
      <formula1>$GC$2:$GC$5</formula1>
    </dataValidation>
    <dataValidation type="list" allowBlank="1" sqref="F2:F100" xr:uid="{69F469D4-4F9E-4261-A48A-BFA6C5D4C89C}">
      <formula1>$GD$2:$GD$7</formula1>
    </dataValidation>
    <dataValidation type="list" allowBlank="1" sqref="G2:G100" xr:uid="{75991CC8-F65B-4E06-879E-F0A0B24C94B3}">
      <formula1>$GE$2:$GE$7</formula1>
    </dataValidation>
    <dataValidation type="list" allowBlank="1" sqref="H2:H100" xr:uid="{513F00D8-A6CA-4127-96EC-6FD5BD378BF7}">
      <formula1>$GF$2:$GF$7</formula1>
    </dataValidation>
    <dataValidation type="list" allowBlank="1" sqref="J2:J100" xr:uid="{77BD1706-1475-492F-9593-0F7A3E3DE621}">
      <formula1>$GG$2:$GG$7</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B5179-324F-489C-8EF6-B082C0577341}">
  <sheetPr filterMode="1"/>
  <dimension ref="A1:IP64998"/>
  <sheetViews>
    <sheetView topLeftCell="B1" workbookViewId="0">
      <pane ySplit="1" topLeftCell="A59" activePane="bottomLeft" state="frozen"/>
      <selection pane="bottomLeft" activeCell="F59" sqref="F59"/>
    </sheetView>
  </sheetViews>
  <sheetFormatPr baseColWidth="10" defaultColWidth="8.4140625" defaultRowHeight="14.5"/>
  <cols>
    <col min="1" max="1" width="25" style="3" hidden="1" customWidth="1"/>
    <col min="2" max="6" width="25" style="3" customWidth="1"/>
    <col min="7" max="183" width="8.4140625" style="3"/>
    <col min="184" max="184" width="31" style="3" bestFit="1" customWidth="1"/>
    <col min="185" max="185" width="46" style="3" bestFit="1" customWidth="1"/>
    <col min="186" max="186" width="29.1640625" style="3" bestFit="1" customWidth="1"/>
    <col min="187" max="16384" width="8.4140625" style="3"/>
  </cols>
  <sheetData>
    <row r="1" spans="1:186">
      <c r="A1" s="1" t="s">
        <v>0</v>
      </c>
      <c r="B1" s="1" t="s">
        <v>1</v>
      </c>
      <c r="C1" s="2" t="s">
        <v>2</v>
      </c>
      <c r="D1" s="3" t="s">
        <v>588</v>
      </c>
      <c r="E1" s="3" t="s">
        <v>589</v>
      </c>
      <c r="F1" s="3" t="s">
        <v>590</v>
      </c>
      <c r="FY1" s="3" t="s">
        <v>16</v>
      </c>
      <c r="FZ1" s="3" t="s">
        <v>17</v>
      </c>
      <c r="GB1" s="3" t="s">
        <v>591</v>
      </c>
      <c r="GC1" s="3" t="s">
        <v>592</v>
      </c>
      <c r="GD1" s="3" t="s">
        <v>593</v>
      </c>
    </row>
    <row r="2" spans="1:186" hidden="1">
      <c r="A2" s="4"/>
      <c r="B2" s="3" t="str">
        <f>'Application Info'!B2</f>
        <v>Surgir</v>
      </c>
      <c r="C2" s="4" t="str">
        <f>'Application Info'!C2</f>
        <v>SAP by Design</v>
      </c>
      <c r="D2" s="4"/>
      <c r="E2" s="4"/>
      <c r="F2" s="4"/>
      <c r="FY2" s="3" t="s">
        <v>594</v>
      </c>
      <c r="GB2" s="3" t="s">
        <v>595</v>
      </c>
      <c r="GC2" s="3" t="s">
        <v>596</v>
      </c>
      <c r="GD2" s="3" t="s">
        <v>597</v>
      </c>
    </row>
    <row r="3" spans="1:186" hidden="1">
      <c r="B3" s="3" t="str">
        <f>'Application Info'!B3</f>
        <v>Surgir</v>
      </c>
      <c r="C3" s="4" t="str">
        <f>'Application Info'!C3</f>
        <v>App Surgir</v>
      </c>
      <c r="D3" s="4"/>
      <c r="E3" s="4"/>
      <c r="F3" s="4"/>
      <c r="FY3" s="3" t="s">
        <v>598</v>
      </c>
      <c r="GB3" s="3" t="s">
        <v>599</v>
      </c>
      <c r="GC3" s="3" t="s">
        <v>600</v>
      </c>
      <c r="GD3" s="3" t="s">
        <v>601</v>
      </c>
    </row>
    <row r="4" spans="1:186" hidden="1">
      <c r="B4" s="3" t="str">
        <f>'Application Info'!B4</f>
        <v>Surgir</v>
      </c>
      <c r="C4" s="4" t="str">
        <f>'Application Info'!C4</f>
        <v>App Cliente</v>
      </c>
      <c r="D4" s="4"/>
      <c r="E4" s="4"/>
      <c r="F4" s="4"/>
      <c r="FY4" s="3" t="s">
        <v>602</v>
      </c>
      <c r="GB4" s="3" t="s">
        <v>603</v>
      </c>
      <c r="GC4" s="3" t="s">
        <v>604</v>
      </c>
      <c r="GD4" s="3" t="s">
        <v>605</v>
      </c>
    </row>
    <row r="5" spans="1:186" hidden="1">
      <c r="B5" s="3" t="str">
        <f>'Application Info'!B5</f>
        <v>Surgir</v>
      </c>
      <c r="C5" s="4" t="str">
        <f>'Application Info'!C5</f>
        <v>AMLUpdate - Name Screening</v>
      </c>
      <c r="D5" s="4"/>
      <c r="E5" s="4"/>
      <c r="F5" s="4"/>
      <c r="GB5" s="3" t="s">
        <v>606</v>
      </c>
      <c r="GC5" s="3" t="s">
        <v>607</v>
      </c>
      <c r="GD5" s="3" t="s">
        <v>120</v>
      </c>
    </row>
    <row r="6" spans="1:186" hidden="1">
      <c r="B6" s="3" t="str">
        <f>'Application Info'!B6</f>
        <v>Surgir</v>
      </c>
      <c r="C6" s="4" t="str">
        <f>'Application Info'!C6</f>
        <v>Portal Web Público</v>
      </c>
      <c r="D6" s="4"/>
      <c r="E6" s="4"/>
      <c r="F6" s="4"/>
      <c r="GB6" s="3" t="s">
        <v>45</v>
      </c>
      <c r="GC6" s="3" t="s">
        <v>45</v>
      </c>
    </row>
    <row r="7" spans="1:186" hidden="1">
      <c r="B7" s="3" t="str">
        <f>'Application Info'!B7</f>
        <v>Surgir</v>
      </c>
      <c r="C7" s="4" t="str">
        <f>'Application Info'!C7</f>
        <v>Anura</v>
      </c>
      <c r="D7" s="4"/>
      <c r="E7" s="4"/>
      <c r="F7" s="4"/>
      <c r="GB7" s="3" t="s">
        <v>51</v>
      </c>
      <c r="GC7" s="3" t="s">
        <v>51</v>
      </c>
    </row>
    <row r="8" spans="1:186" hidden="1">
      <c r="B8" s="3" t="str">
        <f>'Application Info'!B8</f>
        <v>Surgir</v>
      </c>
      <c r="C8" s="4" t="str">
        <f>'Application Info'!C8</f>
        <v>ERP Contanet</v>
      </c>
      <c r="D8" s="4"/>
      <c r="E8" s="4"/>
      <c r="F8" s="4"/>
    </row>
    <row r="9" spans="1:186" hidden="1">
      <c r="B9" s="3" t="str">
        <f>'Application Info'!B9</f>
        <v>Surgir</v>
      </c>
      <c r="C9" s="4" t="str">
        <f>'Application Info'!C9</f>
        <v>Datalake</v>
      </c>
      <c r="D9" s="4"/>
      <c r="E9" s="4"/>
      <c r="F9" s="4"/>
    </row>
    <row r="10" spans="1:186" hidden="1">
      <c r="B10" s="3" t="str">
        <f>'Application Info'!B10</f>
        <v>Surgir</v>
      </c>
      <c r="C10" s="4" t="str">
        <f>'Application Info'!C10</f>
        <v>Cobis</v>
      </c>
      <c r="D10" s="4"/>
      <c r="E10" s="4"/>
      <c r="F10" s="4"/>
    </row>
    <row r="11" spans="1:186" hidden="1">
      <c r="B11" s="3" t="str">
        <f>'Application Info'!B11</f>
        <v>Santander Fondos Colectivos</v>
      </c>
      <c r="C11" s="4" t="str">
        <f>'Application Info'!C11</f>
        <v>Emblue</v>
      </c>
      <c r="D11" s="4"/>
      <c r="E11" s="4"/>
      <c r="F11" s="4"/>
    </row>
    <row r="12" spans="1:186" hidden="1">
      <c r="B12" s="3" t="str">
        <f>'Application Info'!B12</f>
        <v>Santander Fondos Colectivos</v>
      </c>
      <c r="C12" s="4" t="str">
        <f>'Application Info'!C12</f>
        <v>Facephi</v>
      </c>
      <c r="D12" s="4"/>
      <c r="E12" s="4"/>
      <c r="F12" s="4"/>
    </row>
    <row r="13" spans="1:186" hidden="1">
      <c r="B13" s="3" t="str">
        <f>'Application Info'!B13</f>
        <v>Santander Fondos Colectivos</v>
      </c>
      <c r="C13" s="4" t="str">
        <f>'Application Info'!C13</f>
        <v>Mapfre</v>
      </c>
      <c r="D13" s="4"/>
      <c r="E13" s="4"/>
      <c r="F13" s="4"/>
    </row>
    <row r="14" spans="1:186" hidden="1">
      <c r="B14" s="3" t="str">
        <f>'Application Info'!B14</f>
        <v>Santander Fondos Colectivos</v>
      </c>
      <c r="C14" s="4" t="str">
        <f>'Application Info'!C14</f>
        <v>Tracklink</v>
      </c>
      <c r="D14" s="4"/>
      <c r="E14" s="4"/>
      <c r="F14" s="4"/>
    </row>
    <row r="15" spans="1:186" hidden="1">
      <c r="B15" s="3" t="str">
        <f>'Application Info'!B15</f>
        <v>Santander Fondos Colectivos</v>
      </c>
      <c r="C15" s="4" t="str">
        <f>'Application Info'!C15</f>
        <v>Docuclass</v>
      </c>
      <c r="D15" s="4"/>
      <c r="E15" s="4"/>
      <c r="F15" s="4"/>
    </row>
    <row r="16" spans="1:186" hidden="1">
      <c r="B16" s="3" t="str">
        <f>'Application Info'!B16</f>
        <v>Santander Fondos Colectivos</v>
      </c>
      <c r="C16" s="4" t="str">
        <f>'Application Info'!C16</f>
        <v>Diloo</v>
      </c>
      <c r="D16" s="4"/>
      <c r="E16" s="4"/>
      <c r="F16" s="4"/>
    </row>
    <row r="17" spans="2:6" hidden="1">
      <c r="B17" s="3" t="str">
        <f>'Application Info'!B17</f>
        <v>Santander Fondos Colectivos</v>
      </c>
      <c r="C17" s="4" t="str">
        <f>'Application Info'!C17</f>
        <v>Izipay Pagos en línea</v>
      </c>
      <c r="D17" s="4"/>
      <c r="E17" s="4"/>
      <c r="F17" s="4"/>
    </row>
    <row r="18" spans="2:6" hidden="1">
      <c r="B18" s="3" t="str">
        <f>'Application Info'!B18</f>
        <v>Santander Fondos Colectivos</v>
      </c>
      <c r="C18" s="4" t="str">
        <f>'Application Info'!C18</f>
        <v>IBK Recaudación</v>
      </c>
      <c r="D18" s="4"/>
      <c r="E18" s="4"/>
      <c r="F18" s="4"/>
    </row>
    <row r="19" spans="2:6" hidden="1">
      <c r="B19" s="3" t="str">
        <f>'Application Info'!B19</f>
        <v>Santander Fondos Colectivos</v>
      </c>
      <c r="C19" s="4" t="str">
        <f>'Application Info'!C19</f>
        <v>SAP by Design</v>
      </c>
      <c r="D19" s="4"/>
      <c r="E19" s="4"/>
      <c r="F19" s="4"/>
    </row>
    <row r="20" spans="2:6" hidden="1">
      <c r="B20" s="3" t="str">
        <f>'Application Info'!B20</f>
        <v>Santander Fondos Colectivos</v>
      </c>
      <c r="C20" s="4" t="str">
        <f>'Application Info'!C20</f>
        <v>Portal Web Público</v>
      </c>
      <c r="D20" s="4"/>
      <c r="E20" s="4"/>
      <c r="F20" s="4"/>
    </row>
    <row r="21" spans="2:6" hidden="1">
      <c r="B21" s="3" t="str">
        <f>'Application Info'!B21</f>
        <v>Santander Fondos Colectivos</v>
      </c>
      <c r="C21" s="4" t="str">
        <f>'Application Info'!C21</f>
        <v>AMLUpdate - Name Screening</v>
      </c>
      <c r="D21" s="4"/>
      <c r="E21" s="4"/>
      <c r="F21" s="4"/>
    </row>
    <row r="22" spans="2:6" hidden="1">
      <c r="B22" s="3" t="str">
        <f>'Application Info'!B22</f>
        <v>Santander Fondos Colectivos</v>
      </c>
      <c r="C22" s="4" t="str">
        <f>'Application Info'!C22</f>
        <v>Santo</v>
      </c>
      <c r="D22" s="4"/>
      <c r="E22" s="4"/>
      <c r="F22" s="4"/>
    </row>
    <row r="23" spans="2:6" hidden="1">
      <c r="B23" s="3" t="str">
        <f>'Application Info'!B23</f>
        <v>SCIB Perú</v>
      </c>
      <c r="C23" s="4" t="str">
        <f>'Application Info'!C23</f>
        <v>Nuevo Office Banking</v>
      </c>
      <c r="D23" s="4"/>
      <c r="E23" s="4"/>
      <c r="F23" s="4"/>
    </row>
    <row r="24" spans="2:6" hidden="1">
      <c r="B24" s="3" t="str">
        <f>'Application Info'!B24</f>
        <v>SCIB Perú</v>
      </c>
      <c r="C24" s="4" t="str">
        <f>'Application Info'!C24</f>
        <v>CEEFFC</v>
      </c>
      <c r="D24" s="4"/>
      <c r="E24" s="4"/>
      <c r="F24" s="4"/>
    </row>
    <row r="25" spans="2:6" hidden="1">
      <c r="B25" s="3" t="str">
        <f>'Application Info'!B25</f>
        <v>SCIB Perú</v>
      </c>
      <c r="C25" s="4" t="str">
        <f>'Application Info'!C25</f>
        <v>Lbtr</v>
      </c>
      <c r="D25" s="4"/>
      <c r="E25" s="4"/>
      <c r="F25" s="4"/>
    </row>
    <row r="26" spans="2:6" hidden="1">
      <c r="B26" s="3" t="str">
        <f>'Application Info'!B26</f>
        <v>SCIB Perú</v>
      </c>
      <c r="C26" s="4" t="str">
        <f>'Application Info'!C26</f>
        <v>Cash Nexus</v>
      </c>
      <c r="D26" s="4"/>
      <c r="E26" s="4"/>
      <c r="F26" s="4"/>
    </row>
    <row r="27" spans="2:6" hidden="1">
      <c r="B27" s="3" t="str">
        <f>'Application Info'!B27</f>
        <v>SCIB Perú</v>
      </c>
      <c r="C27" s="4" t="str">
        <f>'Application Info'!C27</f>
        <v>Host to Host</v>
      </c>
      <c r="D27" s="4"/>
      <c r="E27" s="4"/>
      <c r="F27" s="4"/>
    </row>
    <row r="28" spans="2:6" hidden="1">
      <c r="B28" s="3" t="str">
        <f>'Application Info'!B28</f>
        <v>SCIB Perú</v>
      </c>
      <c r="C28" s="4" t="str">
        <f>'Application Info'!C28</f>
        <v>Sistema Office Banking</v>
      </c>
      <c r="D28" s="4"/>
      <c r="E28" s="4"/>
      <c r="F28" s="4"/>
    </row>
    <row r="29" spans="2:6" hidden="1">
      <c r="B29" s="3" t="str">
        <f>'Application Info'!B29</f>
        <v>Santander Consumer Perú</v>
      </c>
      <c r="C29" s="4" t="str">
        <f>'Application Info'!C29</f>
        <v>Diloo</v>
      </c>
      <c r="D29" s="4"/>
      <c r="E29" s="4"/>
      <c r="F29" s="4"/>
    </row>
    <row r="30" spans="2:6" hidden="1">
      <c r="B30" s="3" t="str">
        <f>'Application Info'!B30</f>
        <v>Santander Consumer Perú</v>
      </c>
      <c r="C30" s="4" t="str">
        <f>'Application Info'!C30</f>
        <v>Plataforma de Facturacion Electronica</v>
      </c>
      <c r="D30" s="4"/>
      <c r="E30" s="4"/>
      <c r="F30" s="4"/>
    </row>
    <row r="31" spans="2:6" hidden="1">
      <c r="B31" s="3" t="str">
        <f>'Application Info'!B31</f>
        <v>Santander Consumer Perú</v>
      </c>
      <c r="C31" s="4" t="str">
        <f>'Application Info'!C31</f>
        <v>Contáctanos</v>
      </c>
      <c r="D31" s="4"/>
      <c r="E31" s="4"/>
      <c r="F31" s="4"/>
    </row>
    <row r="32" spans="2:6" hidden="1">
      <c r="B32" s="3" t="str">
        <f>'Application Info'!B32</f>
        <v>Santander Consumer Perú</v>
      </c>
      <c r="C32" s="4" t="str">
        <f>'Application Info'!C32</f>
        <v>Visor Cobranzas</v>
      </c>
      <c r="D32" s="4"/>
      <c r="E32" s="4"/>
      <c r="F32" s="4"/>
    </row>
    <row r="33" spans="2:6" hidden="1">
      <c r="B33" s="3" t="str">
        <f>'Application Info'!B33</f>
        <v>Santander Consumer Perú</v>
      </c>
      <c r="C33" s="4" t="str">
        <f>'Application Info'!C33</f>
        <v>Api Market</v>
      </c>
      <c r="D33" s="4"/>
      <c r="E33" s="4"/>
      <c r="F33" s="4"/>
    </row>
    <row r="34" spans="2:6" hidden="1">
      <c r="B34" s="3" t="str">
        <f>'Application Info'!B34</f>
        <v>Santander Consumer Perú</v>
      </c>
      <c r="C34" s="4" t="str">
        <f>'Application Info'!C34</f>
        <v>AMLUpdate - Name Screening</v>
      </c>
      <c r="D34" s="4"/>
      <c r="E34" s="4"/>
      <c r="F34" s="4"/>
    </row>
    <row r="35" spans="2:6" hidden="1">
      <c r="B35" s="3" t="str">
        <f>'Application Info'!B35</f>
        <v>Santander Consumer Perú</v>
      </c>
      <c r="C35" s="4" t="str">
        <f>'Application Info'!C35</f>
        <v>Facturación Electrónica - Auto</v>
      </c>
      <c r="D35" s="4"/>
      <c r="E35" s="4"/>
      <c r="F35" s="4"/>
    </row>
    <row r="36" spans="2:6" hidden="1">
      <c r="B36" s="3" t="str">
        <f>'Application Info'!B36</f>
        <v>Santander Consumer Perú</v>
      </c>
      <c r="C36" s="4" t="str">
        <f>'Application Info'!C36</f>
        <v>Portal Web Público</v>
      </c>
      <c r="D36" s="4"/>
      <c r="E36" s="4"/>
      <c r="F36" s="4"/>
    </row>
    <row r="37" spans="2:6" hidden="1">
      <c r="B37" s="3" t="str">
        <f>'Application Info'!B37</f>
        <v>Santander Consumer Perú</v>
      </c>
      <c r="C37" s="4" t="str">
        <f>'Application Info'!C37</f>
        <v>SAP ByDesign - ERP</v>
      </c>
      <c r="D37" s="4"/>
      <c r="E37" s="4"/>
      <c r="F37" s="4"/>
    </row>
    <row r="38" spans="2:6" hidden="1">
      <c r="B38" s="3" t="str">
        <f>'Application Info'!B38</f>
        <v>Santander Consumer Perú</v>
      </c>
      <c r="C38" s="4" t="str">
        <f>'Application Info'!C38</f>
        <v>Bantotal - Core Bancario</v>
      </c>
      <c r="D38" s="4"/>
      <c r="E38" s="4"/>
      <c r="F38" s="4"/>
    </row>
    <row r="39" spans="2:6" hidden="1">
      <c r="B39" s="3" t="str">
        <f>'Application Info'!B39</f>
        <v>Santander Consumer Perú</v>
      </c>
      <c r="C39" s="4" t="str">
        <f>'Application Info'!C39</f>
        <v>Motor de Crédito</v>
      </c>
      <c r="D39" s="4"/>
      <c r="E39" s="4"/>
      <c r="F39" s="4"/>
    </row>
    <row r="40" spans="2:6" hidden="1">
      <c r="B40" s="3" t="str">
        <f>'Application Info'!B40</f>
        <v>Santander Consumer Perú</v>
      </c>
      <c r="C40" s="4" t="str">
        <f>'Application Info'!C40</f>
        <v>Santi</v>
      </c>
      <c r="D40" s="4"/>
      <c r="E40" s="4"/>
      <c r="F40" s="4"/>
    </row>
    <row r="41" spans="2:6" hidden="1">
      <c r="B41" s="3" t="str">
        <f>'Application Info'!B41</f>
        <v>Santander Consumer Perú</v>
      </c>
      <c r="C41" s="4" t="str">
        <f>'Application Info'!C41</f>
        <v>Seguros La Positiva</v>
      </c>
      <c r="D41" s="4"/>
      <c r="E41" s="4"/>
      <c r="F41" s="4"/>
    </row>
    <row r="42" spans="2:6" hidden="1">
      <c r="B42" s="3" t="str">
        <f>'Application Info'!B42</f>
        <v>Santander Consumer Perú</v>
      </c>
      <c r="C42" s="4" t="str">
        <f>'Application Info'!C42</f>
        <v>Equifax</v>
      </c>
      <c r="D42" s="4"/>
      <c r="E42" s="4"/>
      <c r="F42" s="4"/>
    </row>
    <row r="43" spans="2:6" hidden="1">
      <c r="B43" s="3" t="str">
        <f>'Application Info'!B43</f>
        <v>Santander Consumer Perú</v>
      </c>
      <c r="C43" s="4" t="str">
        <f>'Application Info'!C43</f>
        <v>Docuclass</v>
      </c>
      <c r="D43" s="4"/>
      <c r="E43" s="4"/>
      <c r="F43" s="4"/>
    </row>
    <row r="44" spans="2:6" hidden="1">
      <c r="B44" s="3" t="str">
        <f>'Application Info'!B44</f>
        <v>Santander Consumer Perú</v>
      </c>
      <c r="C44" s="4" t="str">
        <f>'Application Info'!C44</f>
        <v>Seir</v>
      </c>
      <c r="D44" s="4"/>
      <c r="E44" s="4"/>
      <c r="F44" s="4"/>
    </row>
    <row r="45" spans="2:6" hidden="1">
      <c r="B45" s="3" t="str">
        <f>'Application Info'!B45</f>
        <v>Santander Consumer Perú</v>
      </c>
      <c r="C45" s="4" t="str">
        <f>'Application Info'!C45</f>
        <v>Pomelo</v>
      </c>
      <c r="D45" s="4"/>
      <c r="E45" s="4"/>
      <c r="F45" s="4"/>
    </row>
    <row r="46" spans="2:6" hidden="1">
      <c r="B46" s="3" t="str">
        <f>'Application Info'!B46</f>
        <v>Santander Consumer Perú</v>
      </c>
      <c r="C46" s="4" t="str">
        <f>'Application Info'!C46</f>
        <v>Izypay</v>
      </c>
      <c r="D46" s="4"/>
      <c r="E46" s="4"/>
      <c r="F46" s="4"/>
    </row>
    <row r="47" spans="2:6" hidden="1">
      <c r="B47" s="3" t="str">
        <f>'Application Info'!B47</f>
        <v>Santander Consumer Perú</v>
      </c>
      <c r="C47" s="4" t="str">
        <f>'Application Info'!C47</f>
        <v>Kasnet</v>
      </c>
      <c r="D47" s="4"/>
      <c r="E47" s="4"/>
      <c r="F47" s="4"/>
    </row>
    <row r="48" spans="2:6" hidden="1">
      <c r="B48" s="3" t="str">
        <f>'Application Info'!B48</f>
        <v>Santander Consumer Perú</v>
      </c>
      <c r="C48" s="4" t="str">
        <f>'Application Info'!C48</f>
        <v>ChatBot</v>
      </c>
      <c r="D48" s="4"/>
      <c r="E48" s="4"/>
      <c r="F48" s="4"/>
    </row>
    <row r="49" spans="2:6" hidden="1">
      <c r="B49" s="3" t="str">
        <f>'Application Info'!B49</f>
        <v>Santander Consumer Perú</v>
      </c>
      <c r="C49" s="4" t="str">
        <f>'Application Info'!C49</f>
        <v>Data Riesgos</v>
      </c>
      <c r="D49" s="4"/>
      <c r="E49" s="4"/>
      <c r="F49" s="4"/>
    </row>
    <row r="50" spans="2:6" hidden="1">
      <c r="B50" s="3" t="str">
        <f>'Application Info'!B50</f>
        <v>Santander Consumer Perú</v>
      </c>
      <c r="C50" s="4" t="str">
        <f>'Application Info'!C50</f>
        <v>API OTP</v>
      </c>
      <c r="D50" s="4"/>
      <c r="E50" s="4"/>
      <c r="F50" s="4"/>
    </row>
    <row r="51" spans="2:6" hidden="1">
      <c r="B51" s="3" t="str">
        <f>'Application Info'!B51</f>
        <v>Santander Consumer Perú</v>
      </c>
      <c r="C51" s="4" t="str">
        <f>'Application Info'!C51</f>
        <v>API Portal</v>
      </c>
      <c r="D51" s="4"/>
      <c r="E51" s="4"/>
      <c r="F51" s="4"/>
    </row>
    <row r="52" spans="2:6" hidden="1">
      <c r="B52" s="3" t="str">
        <f>'Application Info'!B52</f>
        <v>Santander Consumer Perú</v>
      </c>
      <c r="C52" s="4" t="str">
        <f>'Application Info'!C52</f>
        <v>Venta Cartera</v>
      </c>
      <c r="D52" s="4"/>
      <c r="E52" s="4"/>
      <c r="F52" s="4"/>
    </row>
    <row r="53" spans="2:6" hidden="1">
      <c r="B53" s="3" t="str">
        <f>'Application Info'!B53</f>
        <v>Santander Perú</v>
      </c>
      <c r="C53" s="4" t="str">
        <f>'Application Info'!C53</f>
        <v>Virtual Assistant P&amp;C</v>
      </c>
      <c r="D53" s="4"/>
      <c r="E53" s="4"/>
      <c r="F53" s="4"/>
    </row>
    <row r="54" spans="2:6" hidden="1">
      <c r="B54" s="3" t="str">
        <f>'Application Info'!B54</f>
        <v>Santander Perú</v>
      </c>
      <c r="C54" s="4" t="str">
        <f>'Application Info'!C54</f>
        <v>Masterbase</v>
      </c>
      <c r="D54" s="4"/>
      <c r="E54" s="4"/>
      <c r="F54" s="4"/>
    </row>
    <row r="55" spans="2:6" hidden="1">
      <c r="B55" s="3" t="str">
        <f>'Application Info'!B55</f>
        <v>Santander Perú</v>
      </c>
      <c r="C55" s="4" t="str">
        <f>'Application Info'!C55</f>
        <v>Data Analytics</v>
      </c>
      <c r="D55" s="4"/>
      <c r="E55" s="4"/>
      <c r="F55" s="4"/>
    </row>
    <row r="56" spans="2:6" hidden="1">
      <c r="B56" s="3" t="str">
        <f>'Application Info'!B56</f>
        <v>Santander Perú</v>
      </c>
      <c r="C56" s="4" t="str">
        <f>'Application Info'!C56</f>
        <v>Gestión Portafolio PMO</v>
      </c>
      <c r="D56" s="4"/>
      <c r="E56" s="4"/>
      <c r="F56" s="4"/>
    </row>
    <row r="57" spans="2:6" hidden="1">
      <c r="B57" s="3" t="str">
        <f>'Application Info'!B57</f>
        <v>Santander Perú</v>
      </c>
      <c r="C57" s="4" t="str">
        <f>'Application Info'!C57</f>
        <v>Diloo</v>
      </c>
      <c r="D57" s="4"/>
      <c r="E57" s="4"/>
      <c r="F57" s="4"/>
    </row>
    <row r="58" spans="2:6" hidden="1">
      <c r="B58" s="3" t="str">
        <f>'Application Info'!B58</f>
        <v>Santander Perú</v>
      </c>
      <c r="C58" s="4" t="str">
        <f>'Application Info'!C58</f>
        <v>Lynx</v>
      </c>
      <c r="D58" s="4"/>
      <c r="E58" s="4"/>
      <c r="F58" s="4"/>
    </row>
    <row r="59" spans="2:6">
      <c r="B59" s="3" t="str">
        <f>'Application Info'!B59</f>
        <v>Santander Perú</v>
      </c>
      <c r="C59" s="4" t="str">
        <f>'Application Info'!C59</f>
        <v xml:space="preserve">Astara/SK Berge </v>
      </c>
      <c r="D59" s="4" t="s">
        <v>45</v>
      </c>
      <c r="E59" s="4" t="s">
        <v>45</v>
      </c>
      <c r="F59" s="4" t="s">
        <v>601</v>
      </c>
    </row>
    <row r="60" spans="2:6" hidden="1">
      <c r="B60" s="3" t="str">
        <f>'Application Info'!B60</f>
        <v>Santander Perú</v>
      </c>
      <c r="C60" s="4" t="str">
        <f>'Application Info'!C60</f>
        <v>Factoring Data Lake Leads</v>
      </c>
      <c r="D60" s="4"/>
      <c r="E60" s="4"/>
      <c r="F60" s="4"/>
    </row>
    <row r="61" spans="2:6" hidden="1">
      <c r="B61" s="3" t="str">
        <f>'Application Info'!B61</f>
        <v>Santander Perú</v>
      </c>
      <c r="C61" s="4" t="str">
        <f>'Application Info'!C61</f>
        <v>Monitor Plus (ETL) - Transaction Monitorig</v>
      </c>
      <c r="D61" s="4"/>
      <c r="E61" s="4"/>
      <c r="F61" s="4"/>
    </row>
    <row r="62" spans="2:6" hidden="1">
      <c r="B62" s="3" t="str">
        <f>'Application Info'!B62</f>
        <v>Santander Perú</v>
      </c>
      <c r="C62" s="4" t="str">
        <f>'Application Info'!C62</f>
        <v>Dashboards Analytics</v>
      </c>
      <c r="D62" s="4"/>
      <c r="E62" s="4"/>
      <c r="F62" s="4"/>
    </row>
    <row r="63" spans="2:6" hidden="1">
      <c r="B63" s="3" t="str">
        <f>'Application Info'!B63</f>
        <v>Santander Perú</v>
      </c>
      <c r="C63" s="4" t="str">
        <f>'Application Info'!C63</f>
        <v>Loan Tape</v>
      </c>
      <c r="D63" s="4"/>
      <c r="E63" s="4"/>
      <c r="F63" s="4"/>
    </row>
    <row r="64" spans="2:6" hidden="1">
      <c r="B64" s="3" t="str">
        <f>'Application Info'!B64</f>
        <v>Santander Perú</v>
      </c>
      <c r="C64" s="4" t="str">
        <f>'Application Info'!C64</f>
        <v>Hiperfirmas</v>
      </c>
      <c r="D64" s="4"/>
      <c r="E64" s="4"/>
      <c r="F64" s="4"/>
    </row>
    <row r="65" spans="2:6" hidden="1">
      <c r="B65" s="3" t="str">
        <f>'Application Info'!B65</f>
        <v>Santander Perú</v>
      </c>
      <c r="C65" s="4" t="str">
        <f>'Application Info'!C65</f>
        <v>Web Onboarding</v>
      </c>
      <c r="D65" s="4"/>
      <c r="E65" s="4"/>
      <c r="F65" s="4"/>
    </row>
    <row r="66" spans="2:6" hidden="1">
      <c r="B66" s="3" t="str">
        <f>'Application Info'!B66</f>
        <v>Santander Perú</v>
      </c>
      <c r="C66" s="4" t="str">
        <f>'Application Info'!C66</f>
        <v>LBTR Novatronic</v>
      </c>
      <c r="D66" s="4"/>
      <c r="E66" s="4"/>
      <c r="F66" s="4"/>
    </row>
    <row r="67" spans="2:6" hidden="1">
      <c r="B67" s="3" t="str">
        <f>'Application Info'!B67</f>
        <v>Santander Perú</v>
      </c>
      <c r="C67" s="4" t="str">
        <f>'Application Info'!C67</f>
        <v>Web Pago Interno</v>
      </c>
      <c r="D67" s="4"/>
      <c r="E67" s="4"/>
      <c r="F67" s="4"/>
    </row>
    <row r="68" spans="2:6" hidden="1">
      <c r="B68" s="3" t="str">
        <f>'Application Info'!B68</f>
        <v>Santander Perú</v>
      </c>
      <c r="C68" s="4" t="str">
        <f>'Application Info'!C68</f>
        <v>Retenciones SUNAT</v>
      </c>
      <c r="D68" s="4"/>
      <c r="E68" s="4"/>
      <c r="F68" s="4"/>
    </row>
    <row r="69" spans="2:6" hidden="1">
      <c r="B69" s="3" t="str">
        <f>'Application Info'!B69</f>
        <v>Santander Perú</v>
      </c>
      <c r="C69" s="4" t="str">
        <f>'Application Info'!C69</f>
        <v>Facturas Negociables</v>
      </c>
      <c r="D69" s="4"/>
      <c r="E69" s="4"/>
      <c r="F69" s="4"/>
    </row>
    <row r="70" spans="2:6" hidden="1">
      <c r="B70" s="3" t="str">
        <f>'Application Info'!B70</f>
        <v>Santander Perú</v>
      </c>
      <c r="C70" s="4" t="str">
        <f>'Application Info'!C70</f>
        <v>GDS Modellica</v>
      </c>
      <c r="D70" s="4"/>
      <c r="E70" s="4"/>
      <c r="F70" s="4"/>
    </row>
    <row r="71" spans="2:6" hidden="1">
      <c r="B71" s="3" t="str">
        <f>'Application Info'!B71</f>
        <v>Santander Perú</v>
      </c>
      <c r="C71" s="4" t="str">
        <f>'Application Info'!C71</f>
        <v xml:space="preserve">Qlik Sense </v>
      </c>
      <c r="D71" s="4"/>
      <c r="E71" s="4"/>
      <c r="F71" s="4"/>
    </row>
    <row r="72" spans="2:6" hidden="1">
      <c r="B72" s="3" t="str">
        <f>'Application Info'!B72</f>
        <v>Santander Perú</v>
      </c>
      <c r="C72" s="4" t="str">
        <f>'Application Info'!C72</f>
        <v>Qlikview</v>
      </c>
      <c r="D72" s="4"/>
      <c r="E72" s="4"/>
      <c r="F72" s="4"/>
    </row>
    <row r="73" spans="2:6" hidden="1">
      <c r="B73" s="3" t="str">
        <f>'Application Info'!B73</f>
        <v>Santander Perú</v>
      </c>
      <c r="C73" s="4" t="str">
        <f>'Application Info'!C73</f>
        <v>DATATEC</v>
      </c>
      <c r="D73" s="4"/>
      <c r="E73" s="4"/>
      <c r="F73" s="4"/>
    </row>
    <row r="74" spans="2:6" hidden="1">
      <c r="B74" s="3" t="str">
        <f>'Application Info'!B74</f>
        <v>Santander Perú</v>
      </c>
      <c r="C74" s="4" t="str">
        <f>'Application Info'!C74</f>
        <v>Data Lakehouse Corporativo</v>
      </c>
      <c r="D74" s="4"/>
      <c r="E74" s="4"/>
      <c r="F74" s="4"/>
    </row>
    <row r="75" spans="2:6" hidden="1">
      <c r="B75" s="3" t="str">
        <f>'Application Info'!B75</f>
        <v>Santander Perú</v>
      </c>
      <c r="C75" s="4" t="str">
        <f>'Application Info'!C75</f>
        <v>Lista Negativa</v>
      </c>
      <c r="D75" s="4"/>
      <c r="E75" s="4"/>
      <c r="F75" s="4"/>
    </row>
    <row r="76" spans="2:6" hidden="1">
      <c r="B76" s="3" t="str">
        <f>'Application Info'!B76</f>
        <v>Santander Perú</v>
      </c>
      <c r="C76" s="4" t="str">
        <f>'Application Info'!C76</f>
        <v>Reporte Helios</v>
      </c>
      <c r="D76" s="4"/>
      <c r="E76" s="4"/>
      <c r="F76" s="4"/>
    </row>
    <row r="77" spans="2:6" hidden="1">
      <c r="B77" s="3" t="str">
        <f>'Application Info'!B77</f>
        <v>Santander Perú</v>
      </c>
      <c r="C77" s="4" t="str">
        <f>'Application Info'!C77</f>
        <v>WorldSys</v>
      </c>
      <c r="D77" s="4"/>
      <c r="E77" s="4"/>
      <c r="F77" s="4"/>
    </row>
    <row r="78" spans="2:6" hidden="1">
      <c r="B78" s="3" t="str">
        <f>'Application Info'!B78</f>
        <v>Santander Perú</v>
      </c>
      <c r="C78" s="4" t="str">
        <f>'Application Info'!C78</f>
        <v>AMLUpdate - Name Screening</v>
      </c>
      <c r="D78" s="4"/>
      <c r="E78" s="4"/>
      <c r="F78" s="4"/>
    </row>
    <row r="79" spans="2:6" hidden="1">
      <c r="B79" s="3" t="str">
        <f>'Application Info'!B79</f>
        <v>Santander Perú</v>
      </c>
      <c r="C79" s="4" t="str">
        <f>'Application Info'!C79</f>
        <v>RatingPlus</v>
      </c>
      <c r="D79" s="4"/>
      <c r="E79" s="4"/>
      <c r="F79" s="4"/>
    </row>
    <row r="80" spans="2:6" hidden="1">
      <c r="B80" s="3" t="str">
        <f>'Application Info'!B80</f>
        <v>Santander Perú</v>
      </c>
      <c r="C80" s="4" t="str">
        <f>'Application Info'!C80</f>
        <v>Zapier</v>
      </c>
      <c r="D80" s="4"/>
      <c r="E80" s="4"/>
      <c r="F80" s="4"/>
    </row>
    <row r="81" spans="2:6" hidden="1">
      <c r="B81" s="3" t="str">
        <f>'Application Info'!B81</f>
        <v>Santander Perú</v>
      </c>
      <c r="C81" s="4" t="str">
        <f>'Application Info'!C81</f>
        <v xml:space="preserve">SAP ByDesign </v>
      </c>
      <c r="D81" s="4"/>
      <c r="E81" s="4"/>
      <c r="F81" s="4"/>
    </row>
    <row r="82" spans="2:6" hidden="1">
      <c r="B82" s="3" t="str">
        <f>'Application Info'!B82</f>
        <v>Santander Perú</v>
      </c>
      <c r="C82" s="4" t="str">
        <f>'Application Info'!C82</f>
        <v>Web Institucional</v>
      </c>
      <c r="D82" s="4"/>
      <c r="E82" s="4"/>
      <c r="F82" s="4"/>
    </row>
    <row r="83" spans="2:6" hidden="1">
      <c r="B83" s="3" t="str">
        <f>'Application Info'!B83</f>
        <v>Santander Perú</v>
      </c>
      <c r="C83" s="4" t="str">
        <f>'Application Info'!C83</f>
        <v>Motor TOP</v>
      </c>
      <c r="D83" s="4"/>
      <c r="E83" s="4"/>
      <c r="F83" s="4"/>
    </row>
    <row r="84" spans="2:6" hidden="1">
      <c r="B84" s="3" t="str">
        <f>'Application Info'!B84</f>
        <v>Santander Perú</v>
      </c>
      <c r="C84" s="4" t="str">
        <f>'Application Info'!C84</f>
        <v>Reporte Crediticio de Deudores</v>
      </c>
      <c r="D84" s="4"/>
      <c r="E84" s="4"/>
      <c r="F84" s="4"/>
    </row>
    <row r="85" spans="2:6" hidden="1">
      <c r="B85" s="3" t="str">
        <f>'Application Info'!B85</f>
        <v>Santander Perú</v>
      </c>
      <c r="C85" s="4" t="str">
        <f>'Application Info'!C85</f>
        <v>Nazca AS400</v>
      </c>
      <c r="D85" s="4"/>
      <c r="E85" s="4"/>
      <c r="F85" s="4"/>
    </row>
    <row r="86" spans="2:6" hidden="1">
      <c r="B86" s="3" t="str">
        <f>'Application Info'!B86</f>
        <v>Santander Perú</v>
      </c>
      <c r="C86" s="4" t="str">
        <f>'Application Info'!C86</f>
        <v>Genesys Cloud</v>
      </c>
      <c r="D86" s="4"/>
      <c r="E86" s="4"/>
      <c r="F86" s="4"/>
    </row>
    <row r="87" spans="2:6" hidden="1">
      <c r="B87" s="3">
        <f>'Application Info'!B87</f>
        <v>0</v>
      </c>
      <c r="C87" s="4">
        <f>'Application Info'!C87</f>
        <v>0</v>
      </c>
      <c r="D87" s="4"/>
      <c r="E87" s="4"/>
      <c r="F87" s="4"/>
    </row>
    <row r="88" spans="2:6" hidden="1">
      <c r="B88" s="3">
        <f>'Application Info'!B88</f>
        <v>0</v>
      </c>
      <c r="C88" s="4">
        <f>'Application Info'!C88</f>
        <v>0</v>
      </c>
      <c r="D88" s="4"/>
      <c r="E88" s="4"/>
      <c r="F88" s="4"/>
    </row>
    <row r="89" spans="2:6" hidden="1">
      <c r="B89" s="3">
        <f>'Application Info'!B89</f>
        <v>0</v>
      </c>
      <c r="C89" s="4">
        <f>'Application Info'!C89</f>
        <v>0</v>
      </c>
      <c r="D89" s="4"/>
      <c r="E89" s="4"/>
      <c r="F89" s="4"/>
    </row>
    <row r="90" spans="2:6" hidden="1">
      <c r="B90" s="3">
        <f>'Application Info'!B90</f>
        <v>0</v>
      </c>
      <c r="C90" s="4">
        <f>'Application Info'!C90</f>
        <v>0</v>
      </c>
      <c r="D90" s="4"/>
      <c r="E90" s="4"/>
      <c r="F90" s="4"/>
    </row>
    <row r="91" spans="2:6" hidden="1">
      <c r="B91" s="3">
        <f>'Application Info'!B91</f>
        <v>0</v>
      </c>
      <c r="C91" s="4">
        <f>'Application Info'!C91</f>
        <v>0</v>
      </c>
      <c r="D91" s="4"/>
      <c r="E91" s="4"/>
      <c r="F91" s="4"/>
    </row>
    <row r="92" spans="2:6" hidden="1">
      <c r="B92" s="3">
        <f>'Application Info'!B92</f>
        <v>0</v>
      </c>
      <c r="C92" s="4">
        <f>'Application Info'!C92</f>
        <v>0</v>
      </c>
      <c r="D92" s="4"/>
      <c r="E92" s="4"/>
      <c r="F92" s="4"/>
    </row>
    <row r="93" spans="2:6" hidden="1">
      <c r="B93" s="3">
        <f>'Application Info'!B93</f>
        <v>0</v>
      </c>
      <c r="C93" s="4">
        <f>'Application Info'!C93</f>
        <v>0</v>
      </c>
      <c r="D93" s="4"/>
      <c r="E93" s="4"/>
      <c r="F93" s="4"/>
    </row>
    <row r="94" spans="2:6" hidden="1">
      <c r="B94" s="3">
        <f>'Application Info'!B94</f>
        <v>0</v>
      </c>
      <c r="C94" s="4">
        <f>'Application Info'!C94</f>
        <v>0</v>
      </c>
      <c r="D94" s="4"/>
      <c r="E94" s="4"/>
      <c r="F94" s="4"/>
    </row>
    <row r="95" spans="2:6" hidden="1">
      <c r="B95" s="3">
        <f>'Application Info'!B95</f>
        <v>0</v>
      </c>
      <c r="C95" s="4">
        <f>'Application Info'!C95</f>
        <v>0</v>
      </c>
      <c r="D95" s="4"/>
      <c r="E95" s="4"/>
      <c r="F95" s="4"/>
    </row>
    <row r="96" spans="2:6" hidden="1">
      <c r="B96" s="3">
        <f>'Application Info'!B96</f>
        <v>0</v>
      </c>
      <c r="C96" s="4">
        <f>'Application Info'!C96</f>
        <v>0</v>
      </c>
      <c r="D96" s="4"/>
      <c r="E96" s="4"/>
      <c r="F96" s="4"/>
    </row>
    <row r="97" spans="2:6" hidden="1">
      <c r="B97" s="3">
        <f>'Application Info'!B97</f>
        <v>0</v>
      </c>
      <c r="C97" s="4">
        <f>'Application Info'!C97</f>
        <v>0</v>
      </c>
      <c r="D97" s="4"/>
      <c r="E97" s="4"/>
      <c r="F97" s="4"/>
    </row>
    <row r="98" spans="2:6" hidden="1">
      <c r="B98" s="3">
        <f>'Application Info'!B98</f>
        <v>0</v>
      </c>
      <c r="C98" s="4">
        <f>'Application Info'!C98</f>
        <v>0</v>
      </c>
      <c r="D98" s="4"/>
      <c r="E98" s="4"/>
      <c r="F98" s="4"/>
    </row>
    <row r="99" spans="2:6" hidden="1">
      <c r="B99" s="3">
        <f>'Application Info'!B99</f>
        <v>0</v>
      </c>
      <c r="C99" s="4">
        <f>'Application Info'!C99</f>
        <v>0</v>
      </c>
      <c r="D99" s="4"/>
      <c r="E99" s="4"/>
      <c r="F99" s="4"/>
    </row>
    <row r="100" spans="2:6" hidden="1">
      <c r="B100" s="3">
        <f>'Application Info'!B100</f>
        <v>0</v>
      </c>
      <c r="C100" s="4">
        <f>'Application Info'!C100</f>
        <v>0</v>
      </c>
      <c r="D100" s="4"/>
      <c r="E100" s="4"/>
      <c r="F100" s="4"/>
    </row>
    <row r="24998" spans="201:202">
      <c r="GS24998" s="3" t="s">
        <v>66</v>
      </c>
      <c r="GT24998" s="3">
        <v>1</v>
      </c>
    </row>
    <row r="64997" spans="250:250">
      <c r="IP64997" s="3" t="s">
        <v>67</v>
      </c>
    </row>
    <row r="64998" spans="250:250">
      <c r="IP64998" s="3" t="s">
        <v>67</v>
      </c>
    </row>
  </sheetData>
  <autoFilter ref="A1:IP100" xr:uid="{E25B5179-324F-489C-8EF6-B082C0577341}">
    <filterColumn colId="2">
      <filters>
        <filter val="Astara/SK Berge"/>
      </filters>
    </filterColumn>
  </autoFilter>
  <dataValidations count="6">
    <dataValidation type="list" allowBlank="1" sqref="F101:F9998" xr:uid="{227DB9FE-D814-46E8-987E-0B1E94849C95}">
      <formula1>Application_last_accessed</formula1>
    </dataValidation>
    <dataValidation type="list" allowBlank="1" sqref="E101:E9998" xr:uid="{BC5E15FB-F50C-48B6-B49A-106DDE9EEAF8}">
      <formula1>Business_change_3_months</formula1>
    </dataValidation>
    <dataValidation type="list" allowBlank="1" sqref="D101:D9998" xr:uid="{A7C440B6-73E8-4BED-98A1-7A978E0F6F2D}">
      <formula1>Tickets_3_months</formula1>
    </dataValidation>
    <dataValidation type="list" allowBlank="1" sqref="D2:D100" xr:uid="{716F8E12-D9A8-4DC1-9450-160C623DCC42}">
      <formula1>$GB$2:$GB$7</formula1>
    </dataValidation>
    <dataValidation type="list" allowBlank="1" sqref="E2:E100" xr:uid="{1104A746-1BE1-4C66-A00D-3C1876ADEC50}">
      <formula1>$GC$2:$GC$7</formula1>
    </dataValidation>
    <dataValidation type="list" allowBlank="1" sqref="F2:F100" xr:uid="{08827F50-C192-44C6-B976-CA415156B2D1}">
      <formula1>$GD$2:$GD$7</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E7BCA-07C8-49FE-872A-65B4D571B836}">
  <dimension ref="A1:IP65000"/>
  <sheetViews>
    <sheetView workbookViewId="0">
      <pane ySplit="1" topLeftCell="A2" activePane="bottomLeft" state="frozen"/>
      <selection pane="bottomLeft" activeCell="D3" sqref="D3"/>
    </sheetView>
  </sheetViews>
  <sheetFormatPr baseColWidth="10" defaultColWidth="8.4140625" defaultRowHeight="14.5"/>
  <cols>
    <col min="1" max="1" width="25" style="3" hidden="1" customWidth="1"/>
    <col min="2" max="3" width="25" style="3" customWidth="1"/>
    <col min="4" max="4" width="29.75" style="3" customWidth="1"/>
    <col min="5" max="8" width="25" style="3" customWidth="1"/>
    <col min="9" max="16384" width="8.4140625" style="3"/>
  </cols>
  <sheetData>
    <row r="1" spans="1:182">
      <c r="A1" s="1" t="s">
        <v>0</v>
      </c>
      <c r="B1" s="1" t="s">
        <v>1</v>
      </c>
      <c r="C1" s="2" t="s">
        <v>2</v>
      </c>
      <c r="D1" s="3" t="s">
        <v>608</v>
      </c>
      <c r="E1" s="3" t="s">
        <v>609</v>
      </c>
      <c r="F1" s="3" t="s">
        <v>610</v>
      </c>
      <c r="G1" s="3" t="s">
        <v>611</v>
      </c>
      <c r="H1" s="3" t="s">
        <v>612</v>
      </c>
      <c r="FY1" s="3" t="s">
        <v>16</v>
      </c>
      <c r="FZ1" s="3" t="s">
        <v>17</v>
      </c>
    </row>
    <row r="2" spans="1:182">
      <c r="A2" s="4"/>
      <c r="C2" s="4"/>
      <c r="D2" s="4"/>
      <c r="E2" s="4"/>
      <c r="F2" s="4"/>
      <c r="G2" s="4"/>
      <c r="H2" s="4"/>
      <c r="FY2" s="3" t="s">
        <v>613</v>
      </c>
    </row>
    <row r="3" spans="1:182">
      <c r="FY3" s="3" t="s">
        <v>614</v>
      </c>
    </row>
    <row r="4" spans="1:182">
      <c r="FY4" s="3" t="s">
        <v>615</v>
      </c>
    </row>
    <row r="5" spans="1:182">
      <c r="FY5" s="3" t="s">
        <v>616</v>
      </c>
    </row>
    <row r="25000" spans="201:202">
      <c r="GS25000" s="3" t="s">
        <v>66</v>
      </c>
      <c r="GT25000" s="3">
        <v>1</v>
      </c>
    </row>
    <row r="64999" spans="250:250">
      <c r="IP64999" s="3" t="s">
        <v>67</v>
      </c>
    </row>
    <row r="65000" spans="250:250">
      <c r="IP65000" s="3" t="s">
        <v>67</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2968B-A942-4781-AD83-2CB4B2CD9A17}">
  <dimension ref="A1"/>
  <sheetViews>
    <sheetView workbookViewId="0"/>
  </sheetViews>
  <sheetFormatPr baseColWidth="10" defaultColWidth="8.75" defaultRowHeight="1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A197CFE20C16149A1771CF1C9069979" ma:contentTypeVersion="14" ma:contentTypeDescription="Create a new document." ma:contentTypeScope="" ma:versionID="574fb2a9141e8d8d68f68be61b51bc1b">
  <xsd:schema xmlns:xsd="http://www.w3.org/2001/XMLSchema" xmlns:xs="http://www.w3.org/2001/XMLSchema" xmlns:p="http://schemas.microsoft.com/office/2006/metadata/properties" xmlns:ns1="http://schemas.microsoft.com/sharepoint/v3" xmlns:ns2="aa5863fb-10e8-4d89-aabd-3b47e051b308" xmlns:ns3="40071f85-ba93-421c-baf4-8eec527d4112" targetNamespace="http://schemas.microsoft.com/office/2006/metadata/properties" ma:root="true" ma:fieldsID="82f1b1becd810d787e76e05404fa5e14" ns1:_="" ns2:_="" ns3:_="">
    <xsd:import namespace="http://schemas.microsoft.com/sharepoint/v3"/>
    <xsd:import namespace="aa5863fb-10e8-4d89-aabd-3b47e051b308"/>
    <xsd:import namespace="40071f85-ba93-421c-baf4-8eec527d41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5863fb-10e8-4d89-aabd-3b47e051b3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0071f85-ba93-421c-baf4-8eec527d411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a51759b1-d5df-4610-8af2-91f6cd308e54}" ma:internalName="TaxCatchAll" ma:showField="CatchAllData" ma:web="40071f85-ba93-421c-baf4-8eec527d41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40071f85-ba93-421c-baf4-8eec527d4112" xsi:nil="true"/>
    <_ip_UnifiedCompliancePolicyProperties xmlns="http://schemas.microsoft.com/sharepoint/v3" xsi:nil="true"/>
    <lcf76f155ced4ddcb4097134ff3c332f xmlns="aa5863fb-10e8-4d89-aabd-3b47e051b30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EDB44F3-57A2-4D2B-B88E-DCB739D2A013}"/>
</file>

<file path=customXml/itemProps2.xml><?xml version="1.0" encoding="utf-8"?>
<ds:datastoreItem xmlns:ds="http://schemas.openxmlformats.org/officeDocument/2006/customXml" ds:itemID="{8CBCBF10-3D39-4576-A64D-3A487A653CD9}"/>
</file>

<file path=customXml/itemProps3.xml><?xml version="1.0" encoding="utf-8"?>
<ds:datastoreItem xmlns:ds="http://schemas.openxmlformats.org/officeDocument/2006/customXml" ds:itemID="{393302F1-CC0C-4D70-B59D-0AA02A71011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6</vt:i4>
      </vt:variant>
    </vt:vector>
  </HeadingPairs>
  <TitlesOfParts>
    <vt:vector size="15" baseType="lpstr">
      <vt:lpstr>Application Info</vt:lpstr>
      <vt:lpstr>Stakeholders</vt:lpstr>
      <vt:lpstr>Business Info</vt:lpstr>
      <vt:lpstr>Technical Info</vt:lpstr>
      <vt:lpstr>Technical Platforms</vt:lpstr>
      <vt:lpstr>Usage</vt:lpstr>
      <vt:lpstr>Maintenance</vt:lpstr>
      <vt:lpstr>Costs - Optional</vt:lpstr>
      <vt:lpstr>Sheet1</vt:lpstr>
      <vt:lpstr>Application_Age</vt:lpstr>
      <vt:lpstr>Application_Type_EY</vt:lpstr>
      <vt:lpstr>IT_portfolio</vt:lpstr>
      <vt:lpstr>Red_box</vt:lpstr>
      <vt:lpstr>Region</vt:lpstr>
      <vt:lpstr>TOPAZ_Indicator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Mohsin Husain</dc:creator>
  <cp:lastModifiedBy>Ricardo Salas Galliquio</cp:lastModifiedBy>
  <dcterms:created xsi:type="dcterms:W3CDTF">2024-09-18T15:21:20Z</dcterms:created>
  <dcterms:modified xsi:type="dcterms:W3CDTF">2026-06-23T15:22:34Z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2026-06-10T20:56:59Z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e0f5d22f-6d7f-4e0e-a0ee-b96f3f7e4d81</vt:lpwstr>
  </property>
  <property fmtid="{D5CDD505-2E9C-101B-9397-08002B2CF9AE}" pid="8" name="MSIP_Label_41b88ec2-a72b-4523-9e84-0458a1764731_ContentBits">
    <vt:lpwstr>0</vt:lpwstr>
  </property>
  <property fmtid="{D5CDD505-2E9C-101B-9397-08002B2CF9AE}" pid="9" name="MSIP_Label_41b88ec2-a72b-4523-9e84-0458a1764731_Tag">
    <vt:lpwstr>10, 0, 1, 1</vt:lpwstr>
  </property>
  <property fmtid="{D5CDD505-2E9C-101B-9397-08002B2CF9AE}" pid="10" name="ContentTypeId">
    <vt:lpwstr>0x010100FA197CFE20C16149A1771CF1C9069979</vt:lpwstr>
  </property>
</Properties>
</file>