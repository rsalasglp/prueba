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CTO-SantanderPer/Shared Documents/07_Proyectos/03_Diseño_Arquitectura/00_Material/03_As_Is_Documentos/Arka/"/>
    </mc:Choice>
  </mc:AlternateContent>
  <xr:revisionPtr revIDLastSave="156" documentId="8_{7E100B60-67A6-4FA9-BD94-C8877EA5A427}" xr6:coauthVersionLast="47" xr6:coauthVersionMax="47" xr10:uidLastSave="{DDEA1051-AB6E-4E14-957A-368F17131F40}"/>
  <bookViews>
    <workbookView xWindow="-110" yWindow="-110" windowWidth="19420" windowHeight="11500" tabRatio="500" activeTab="1" xr2:uid="{00000000-000D-0000-FFFF-FFFF00000000}"/>
  </bookViews>
  <sheets>
    <sheet name="📋 Instrucciones" sheetId="1" r:id="rId1"/>
    <sheet name="📊 Portfolio" sheetId="2" r:id="rId2"/>
    <sheet name="📈 Dashboard" sheetId="3" r:id="rId3"/>
  </sheets>
  <definedNames>
    <definedName name="_xlnm._FilterDatabase" localSheetId="1" hidden="1">'📊 Portfolio'!$A$2:$L$85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2" l="1"/>
  <c r="J79" i="2" s="1"/>
  <c r="H78" i="2"/>
  <c r="I78" i="2" s="1"/>
  <c r="H77" i="2"/>
  <c r="J77" i="2" s="1"/>
  <c r="H76" i="2"/>
  <c r="J76" i="2" s="1"/>
  <c r="H75" i="2"/>
  <c r="I75" i="2" s="1"/>
  <c r="H74" i="2"/>
  <c r="J74" i="2" s="1"/>
  <c r="H73" i="2"/>
  <c r="I73" i="2" s="1"/>
  <c r="H72" i="2"/>
  <c r="J72" i="2" s="1"/>
  <c r="H71" i="2"/>
  <c r="J71" i="2" s="1"/>
  <c r="H70" i="2"/>
  <c r="I70" i="2" s="1"/>
  <c r="H69" i="2"/>
  <c r="I69" i="2" s="1"/>
  <c r="H68" i="2"/>
  <c r="J68" i="2" s="1"/>
  <c r="H67" i="2"/>
  <c r="J67" i="2" s="1"/>
  <c r="H66" i="2"/>
  <c r="J66" i="2" s="1"/>
  <c r="H65" i="2"/>
  <c r="J65" i="2" s="1"/>
  <c r="H64" i="2"/>
  <c r="I64" i="2" s="1"/>
  <c r="H63" i="2"/>
  <c r="I63" i="2" s="1"/>
  <c r="H62" i="2"/>
  <c r="I62" i="2" s="1"/>
  <c r="H61" i="2"/>
  <c r="I61" i="2" s="1"/>
  <c r="H60" i="2"/>
  <c r="J60" i="2" s="1"/>
  <c r="H59" i="2"/>
  <c r="J59" i="2" s="1"/>
  <c r="H58" i="2"/>
  <c r="J58" i="2" s="1"/>
  <c r="H57" i="2"/>
  <c r="J57" i="2" s="1"/>
  <c r="H56" i="2"/>
  <c r="I56" i="2" s="1"/>
  <c r="H55" i="2"/>
  <c r="I55" i="2" s="1"/>
  <c r="H54" i="2"/>
  <c r="J54" i="2" s="1"/>
  <c r="H53" i="2"/>
  <c r="I53" i="2" s="1"/>
  <c r="H52" i="2"/>
  <c r="J52" i="2" s="1"/>
  <c r="H51" i="2"/>
  <c r="J51" i="2" s="1"/>
  <c r="H50" i="2"/>
  <c r="J50" i="2" s="1"/>
  <c r="H49" i="2"/>
  <c r="J49" i="2" s="1"/>
  <c r="H48" i="2"/>
  <c r="J48" i="2" s="1"/>
  <c r="H47" i="2"/>
  <c r="J47" i="2" s="1"/>
  <c r="H46" i="2"/>
  <c r="J46" i="2" s="1"/>
  <c r="H45" i="2"/>
  <c r="J45" i="2" s="1"/>
  <c r="H44" i="2"/>
  <c r="I44" i="2" s="1"/>
  <c r="H43" i="2"/>
  <c r="J43" i="2" s="1"/>
  <c r="H42" i="2"/>
  <c r="I42" i="2" s="1"/>
  <c r="H41" i="2"/>
  <c r="J41" i="2" s="1"/>
  <c r="H40" i="2"/>
  <c r="J40" i="2" s="1"/>
  <c r="H39" i="2"/>
  <c r="J39" i="2" s="1"/>
  <c r="H38" i="2"/>
  <c r="J38" i="2" s="1"/>
  <c r="H36" i="2"/>
  <c r="I36" i="2" s="1"/>
  <c r="H35" i="2"/>
  <c r="I35" i="2" s="1"/>
  <c r="H34" i="2"/>
  <c r="J34" i="2" s="1"/>
  <c r="H33" i="2"/>
  <c r="J33" i="2" s="1"/>
  <c r="H32" i="2"/>
  <c r="J32" i="2" s="1"/>
  <c r="H31" i="2"/>
  <c r="J31" i="2" s="1"/>
  <c r="H30" i="2"/>
  <c r="J30" i="2" s="1"/>
  <c r="H29" i="2"/>
  <c r="J29" i="2" s="1"/>
  <c r="H28" i="2"/>
  <c r="I28" i="2" s="1"/>
  <c r="H27" i="2"/>
  <c r="J27" i="2" s="1"/>
  <c r="H26" i="2"/>
  <c r="J26" i="2" s="1"/>
  <c r="H25" i="2"/>
  <c r="J25" i="2" s="1"/>
  <c r="H24" i="2"/>
  <c r="J24" i="2" s="1"/>
  <c r="H23" i="2"/>
  <c r="J23" i="2" s="1"/>
  <c r="H22" i="2"/>
  <c r="J22" i="2" s="1"/>
  <c r="H21" i="2"/>
  <c r="J21" i="2" s="1"/>
  <c r="H19" i="2"/>
  <c r="J19" i="2" s="1"/>
  <c r="H18" i="2"/>
  <c r="J18" i="2" s="1"/>
  <c r="H17" i="2"/>
  <c r="J17" i="2" s="1"/>
  <c r="H16" i="2"/>
  <c r="I16" i="2" s="1"/>
  <c r="H15" i="2"/>
  <c r="I15" i="2" s="1"/>
  <c r="H14" i="2"/>
  <c r="J14" i="2" s="1"/>
  <c r="H13" i="2"/>
  <c r="J13" i="2" s="1"/>
  <c r="H12" i="2"/>
  <c r="J12" i="2" s="1"/>
  <c r="H11" i="2"/>
  <c r="J11" i="2" s="1"/>
  <c r="A52" i="2"/>
  <c r="A53" i="2" s="1"/>
  <c r="A54" i="2" s="1"/>
  <c r="A55" i="2" s="1"/>
  <c r="A56" i="2" s="1"/>
  <c r="A57" i="2" l="1"/>
  <c r="A58" i="2" s="1"/>
  <c r="A59" i="2" s="1"/>
  <c r="A60" i="2" s="1"/>
  <c r="A61" i="2" s="1"/>
  <c r="J16" i="2"/>
  <c r="I48" i="2"/>
  <c r="J75" i="2"/>
  <c r="I43" i="2"/>
  <c r="J61" i="2"/>
  <c r="I21" i="2"/>
  <c r="I11" i="2"/>
  <c r="J70" i="2"/>
  <c r="I34" i="2"/>
  <c r="I26" i="2"/>
  <c r="I17" i="2"/>
  <c r="I57" i="2"/>
  <c r="J44" i="2"/>
  <c r="I49" i="2"/>
  <c r="I76" i="2"/>
  <c r="I13" i="2"/>
  <c r="J35" i="2"/>
  <c r="I40" i="2"/>
  <c r="J62" i="2"/>
  <c r="I67" i="2"/>
  <c r="I18" i="2"/>
  <c r="I45" i="2"/>
  <c r="I72" i="2"/>
  <c r="I23" i="2"/>
  <c r="I50" i="2"/>
  <c r="I77" i="2"/>
  <c r="I14" i="2"/>
  <c r="J36" i="2"/>
  <c r="I41" i="2"/>
  <c r="J63" i="2"/>
  <c r="I68" i="2"/>
  <c r="J28" i="2"/>
  <c r="I32" i="2"/>
  <c r="J55" i="2"/>
  <c r="I59" i="2"/>
  <c r="J73" i="2"/>
  <c r="I29" i="2"/>
  <c r="J64" i="2"/>
  <c r="J78" i="2"/>
  <c r="J15" i="2"/>
  <c r="I33" i="2"/>
  <c r="J42" i="2"/>
  <c r="I47" i="2"/>
  <c r="J56" i="2"/>
  <c r="I60" i="2"/>
  <c r="J69" i="2"/>
  <c r="I74" i="2"/>
  <c r="I12" i="2"/>
  <c r="I39" i="2"/>
  <c r="I66" i="2"/>
  <c r="I30" i="2"/>
  <c r="J53" i="2"/>
  <c r="I22" i="2"/>
  <c r="I25" i="2"/>
  <c r="I38" i="2"/>
  <c r="I52" i="2"/>
  <c r="I65" i="2"/>
  <c r="I79" i="2"/>
  <c r="I71" i="2"/>
  <c r="I27" i="2"/>
  <c r="I54" i="2"/>
  <c r="I31" i="2"/>
  <c r="I58" i="2"/>
  <c r="I19" i="2"/>
  <c r="I46" i="2"/>
  <c r="I24" i="2"/>
  <c r="I51" i="2"/>
  <c r="A62" i="2" l="1"/>
  <c r="A63" i="2" s="1"/>
  <c r="H10" i="2"/>
  <c r="H9" i="2"/>
  <c r="H8" i="2"/>
  <c r="H7" i="2"/>
  <c r="H6" i="2"/>
  <c r="H5" i="2"/>
  <c r="H4" i="2"/>
  <c r="H3" i="2"/>
  <c r="A64" i="2" l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1" i="2" s="1"/>
  <c r="A82" i="2" s="1"/>
  <c r="A83" i="2" s="1"/>
  <c r="A84" i="2" s="1"/>
  <c r="A85" i="2" s="1"/>
  <c r="C7" i="3"/>
  <c r="D7" i="3" s="1"/>
  <c r="C6" i="3"/>
  <c r="D6" i="3" s="1"/>
  <c r="C5" i="3"/>
  <c r="D5" i="3" s="1"/>
  <c r="C4" i="3"/>
  <c r="J3" i="2"/>
  <c r="I3" i="2"/>
  <c r="J4" i="2"/>
  <c r="I4" i="2"/>
  <c r="J5" i="2"/>
  <c r="I5" i="2"/>
  <c r="J6" i="2"/>
  <c r="I6" i="2"/>
  <c r="J7" i="2"/>
  <c r="I7" i="2"/>
  <c r="J8" i="2"/>
  <c r="I8" i="2"/>
  <c r="J9" i="2"/>
  <c r="I9" i="2"/>
  <c r="J10" i="2"/>
  <c r="I10" i="2"/>
  <c r="C8" i="3" l="1"/>
  <c r="D4" i="3"/>
</calcChain>
</file>

<file path=xl/sharedStrings.xml><?xml version="1.0" encoding="utf-8"?>
<sst xmlns="http://schemas.openxmlformats.org/spreadsheetml/2006/main" count="540" uniqueCount="189">
  <si>
    <t>Modelo TIME — Plantilla de Racionalización de Portfolio</t>
  </si>
  <si>
    <t>Arquitectura Empresarial | Basado en framework Gartner TIME + 6R</t>
  </si>
  <si>
    <t>¿CÓMO USAR ESTA PLANTILLA?</t>
  </si>
  <si>
    <t>Paso 1: Ir a la hoja  📊 Portfolio</t>
  </si>
  <si>
    <t>Ingresa cada aplicación en una fila. Llena las columnas azules (datos de entrada).</t>
  </si>
  <si>
    <t>Paso 2: Valor de Negocio</t>
  </si>
  <si>
    <t>Selecciona del desplegable: Alto = la aplicación es estratégica o crítica para el negocio. Bajo = soporta procesos secundarios o tiene pocos usuarios.</t>
  </si>
  <si>
    <t>Paso 3: Salud Técnica</t>
  </si>
  <si>
    <t>Selecciona del desplegable: Alta = arquitectura moderna, mantenible, bien documentada. Baja = deuda técnica alta, tecnología obsoleta, difícil de mantener.</t>
  </si>
  <si>
    <t>Paso 4: Cuadrante y 6R</t>
  </si>
  <si>
    <t>Se calculan automáticamente con fórmulas. NO modificar esas columnas.</t>
  </si>
  <si>
    <t>Paso 5: Ver resumen</t>
  </si>
  <si>
    <t>Ir a la hoja  📈 Dashboard para ver conteos y distribución del portfolio.</t>
  </si>
  <si>
    <t>Paso 6: Subir a Claude</t>
  </si>
  <si>
    <t>Guarda el archivo y súbelo en el chat de Claude.ai para análisis profundo de portfolio, roadmap de migración y recomendaciones.</t>
  </si>
  <si>
    <t>CUADRANTES TIME</t>
  </si>
  <si>
    <t>T — TOLERATE</t>
  </si>
  <si>
    <t>Salud Alta + Valor Bajo</t>
  </si>
  <si>
    <t>Funciona bien pero no aporta valor estratégico. Mantener con inversión mínima, reducir costos.</t>
  </si>
  <si>
    <t>I — INVEST</t>
  </si>
  <si>
    <t>Salud Alta + Valor Alto</t>
  </si>
  <si>
    <t>Sistema estratégico en buen estado. Invertir, escalar y evolucionar activamente.</t>
  </si>
  <si>
    <t>M — MIGRATE</t>
  </si>
  <si>
    <t>Salud Baja + Valor Alto</t>
  </si>
  <si>
    <t>Crítico para el negocio pero con deuda técnica. Modernizar con urgencia (6R).</t>
  </si>
  <si>
    <t>E — ELIMINATE</t>
  </si>
  <si>
    <t>Salud Baja + Valor Bajo</t>
  </si>
  <si>
    <t>Sin valor y en mal estado técnico. Planificar descomisión con fecha fija.</t>
  </si>
  <si>
    <t>ESTRATEGIAS 6R (sugeridas automáticamente)</t>
  </si>
  <si>
    <t>R3 — Rehost (Lift &amp; Shift)</t>
  </si>
  <si>
    <t>Mover la aplicación a nueva infra sin cambios. Rápido y barato. No aprovecha cloud.</t>
  </si>
  <si>
    <t>R4 — Replatform</t>
  </si>
  <si>
    <t>Ajustes mínimos al migrar (ej: contenedores). Equilibrio costo/beneficio.</t>
  </si>
  <si>
    <t>R5 — Repurchase (Drop &amp; Shop)</t>
  </si>
  <si>
    <t>Reemplazar por SaaS o producto estándar. Ej: CRM propio → Salesforce.</t>
  </si>
  <si>
    <t>R6 — Refactor / Re-architect</t>
  </si>
  <si>
    <t>Rediseño profundo. El más costoso y riesgoso. Justificado solo si el valor de negocio es muy alto.</t>
  </si>
  <si>
    <t>Retire</t>
  </si>
  <si>
    <t>Descomisionar. Comunicar fecha, migrar datos residuales, apagar.</t>
  </si>
  <si>
    <t>Retain</t>
  </si>
  <si>
    <t>Mantener sin cambios por ahora. Revisar en el próximo ciclo de portfolio.</t>
  </si>
  <si>
    <t xml:space="preserve">  PORTFOLIO DE APLICACIONES — MODELO TIME</t>
  </si>
  <si>
    <t>#</t>
  </si>
  <si>
    <t>Aplicación / Sistema</t>
  </si>
  <si>
    <t>Área / Dominio</t>
  </si>
  <si>
    <t>Tipo</t>
  </si>
  <si>
    <t>Valor de Negocio
(Alto / Bajo)</t>
  </si>
  <si>
    <t>Salud Técnica
(Alta / Baja)</t>
  </si>
  <si>
    <t>Cuadrante TIME
(automático)</t>
  </si>
  <si>
    <t>Estrategia 6R
(automática)</t>
  </si>
  <si>
    <t>Prioridad
(automática)</t>
  </si>
  <si>
    <t>Notas / Observaciones</t>
  </si>
  <si>
    <t>Alto</t>
  </si>
  <si>
    <t>Alta</t>
  </si>
  <si>
    <t>Bajo</t>
  </si>
  <si>
    <t>Baja</t>
  </si>
  <si>
    <t xml:space="preserve">  DASHBOARD — Resumen del Portfolio TIME</t>
  </si>
  <si>
    <t>Cuadrante</t>
  </si>
  <si>
    <t>Aplicaciones</t>
  </si>
  <si>
    <t>% del Total</t>
  </si>
  <si>
    <t>Estrategia</t>
  </si>
  <si>
    <t>Prioridad</t>
  </si>
  <si>
    <t>I — Invest</t>
  </si>
  <si>
    <t>R6 — Refactor</t>
  </si>
  <si>
    <t>Media-Alta</t>
  </si>
  <si>
    <t>M — Migrate</t>
  </si>
  <si>
    <t>T — Tolerate</t>
  </si>
  <si>
    <t>E — Eliminate</t>
  </si>
  <si>
    <t>Descomisionar</t>
  </si>
  <si>
    <t>TOTAL</t>
  </si>
  <si>
    <t xml:space="preserve">  📤  ¿CÓMO ANALIZAR CON CLAUDE?</t>
  </si>
  <si>
    <t>1.  Guarda este archivo Excel (Ctrl+S)</t>
  </si>
  <si>
    <t>2.  Abre Claude.ai en el navegador</t>
  </si>
  <si>
    <t>3.  Adjunta el archivo usando el ícono de clip (📎)</t>
  </si>
  <si>
    <t>4.  Escribe: "Analiza este portfolio TIME, dame un roadmap de migración priorizado, identifica riesgos y sugiere secuencia de implementación"</t>
  </si>
  <si>
    <t>5.  Claude leerá los datos, clasificará las apps y entregará recomendaciones concretas con argumentos técnicos</t>
  </si>
  <si>
    <t>SAP by Design</t>
  </si>
  <si>
    <t>Virtual Assistant P&amp;C</t>
  </si>
  <si>
    <t>Data Analytics</t>
  </si>
  <si>
    <t>App Surgir</t>
  </si>
  <si>
    <t>Plataforma de Facturacion Electronica</t>
  </si>
  <si>
    <t>Contáctanos</t>
  </si>
  <si>
    <t>App Cliente</t>
  </si>
  <si>
    <t>Portal Web Público</t>
  </si>
  <si>
    <t>Lynx</t>
  </si>
  <si>
    <t>Factoring Data Lake Leads</t>
  </si>
  <si>
    <t>Monitor Plus (ETL) - Transaction Monitorig</t>
  </si>
  <si>
    <t>Dashboards Analytics</t>
  </si>
  <si>
    <t>Loan Tape</t>
  </si>
  <si>
    <t>Hiperfirmas</t>
  </si>
  <si>
    <t>Web Onboarding</t>
  </si>
  <si>
    <t>LBTR Novatronic</t>
  </si>
  <si>
    <t>Web Pago Interno</t>
  </si>
  <si>
    <t>Retenciones SUNAT</t>
  </si>
  <si>
    <t>Facturas Negociables</t>
  </si>
  <si>
    <t>GDS Modellica</t>
  </si>
  <si>
    <t>DATATEC</t>
  </si>
  <si>
    <t>Data Lakehouse Corporativo</t>
  </si>
  <si>
    <t>Reporte Helios</t>
  </si>
  <si>
    <t>Santo</t>
  </si>
  <si>
    <t>WorldSys</t>
  </si>
  <si>
    <t>AMLUpdate - Name Screening</t>
  </si>
  <si>
    <t>RatingPlus</t>
  </si>
  <si>
    <t>Zapier</t>
  </si>
  <si>
    <t>Nuevo Office Banking</t>
  </si>
  <si>
    <t>Bantotal - Core Bancario</t>
  </si>
  <si>
    <t>Motor de Crédito</t>
  </si>
  <si>
    <t>Santi</t>
  </si>
  <si>
    <t>ERP Contanet</t>
  </si>
  <si>
    <t>Datalake</t>
  </si>
  <si>
    <t>Cobis</t>
  </si>
  <si>
    <t>CEEFFC</t>
  </si>
  <si>
    <t>Web Institucional</t>
  </si>
  <si>
    <t>Seir</t>
  </si>
  <si>
    <t>Motor TOP</t>
  </si>
  <si>
    <t>Reporte Crediticio de Deudores</t>
  </si>
  <si>
    <t>Cash Nexus</t>
  </si>
  <si>
    <t>Host to Host</t>
  </si>
  <si>
    <t>Sistema Office Banking</t>
  </si>
  <si>
    <t>Nazca AS400</t>
  </si>
  <si>
    <t>API OTP</t>
  </si>
  <si>
    <t>API Portal</t>
  </si>
  <si>
    <t>Venta Cartera</t>
  </si>
  <si>
    <t>Data Riesgos</t>
  </si>
  <si>
    <t>Santander Consumer Perú</t>
  </si>
  <si>
    <t>Surgir</t>
  </si>
  <si>
    <t>Santander Perú</t>
  </si>
  <si>
    <t>Santander Fondos Colectivos</t>
  </si>
  <si>
    <t>SCIB Perú</t>
  </si>
  <si>
    <t>Capa</t>
  </si>
  <si>
    <t>Anura</t>
  </si>
  <si>
    <t>Emblue</t>
  </si>
  <si>
    <t>Facephi</t>
  </si>
  <si>
    <t>Mapfre</t>
  </si>
  <si>
    <t>Tracklink</t>
  </si>
  <si>
    <t>Docuclass</t>
  </si>
  <si>
    <t>Diloo</t>
  </si>
  <si>
    <t>Izipay Pagos en línea</t>
  </si>
  <si>
    <t>IBK Recaudación</t>
  </si>
  <si>
    <t>Lbtr</t>
  </si>
  <si>
    <t>Visor Cobranzas</t>
  </si>
  <si>
    <t>Api Market</t>
  </si>
  <si>
    <t>Facturación Electrónica - Auto</t>
  </si>
  <si>
    <t>Seguros La Positiva</t>
  </si>
  <si>
    <t>Equifax</t>
  </si>
  <si>
    <t>Pomelo</t>
  </si>
  <si>
    <t>Izypay</t>
  </si>
  <si>
    <t>Kasnet</t>
  </si>
  <si>
    <t>ChatBot</t>
  </si>
  <si>
    <t>Masterbase</t>
  </si>
  <si>
    <t>Gestión Portafolio PMO</t>
  </si>
  <si>
    <t xml:space="preserve">Astara/SK Berge </t>
  </si>
  <si>
    <t xml:space="preserve">Qlik Sense </t>
  </si>
  <si>
    <t>Qlikview</t>
  </si>
  <si>
    <t>Lista Negativa</t>
  </si>
  <si>
    <t>Genesys Cloud</t>
  </si>
  <si>
    <t>Transversal</t>
  </si>
  <si>
    <t>Business</t>
  </si>
  <si>
    <t>Front</t>
  </si>
  <si>
    <t>ERP</t>
  </si>
  <si>
    <t>CANALES DIGITALES</t>
  </si>
  <si>
    <t>FCC</t>
  </si>
  <si>
    <t>DATALAKE</t>
  </si>
  <si>
    <t>CORE BANKING</t>
  </si>
  <si>
    <t>Canal Asistido</t>
  </si>
  <si>
    <t>CUSTOMER IDENTITY</t>
  </si>
  <si>
    <t>Insurance (Vehicular)</t>
  </si>
  <si>
    <t>Externo</t>
  </si>
  <si>
    <t>Procesos</t>
  </si>
  <si>
    <t>PAGOS</t>
  </si>
  <si>
    <t>MIS</t>
  </si>
  <si>
    <t>RECLAMOS</t>
  </si>
  <si>
    <t>COBRANZAS</t>
  </si>
  <si>
    <t>Riesgos</t>
  </si>
  <si>
    <t>TARJETAS CREDITO</t>
  </si>
  <si>
    <t>Corresponsalia</t>
  </si>
  <si>
    <t>FUERZA VENTA</t>
  </si>
  <si>
    <t>Help Desk</t>
  </si>
  <si>
    <t>Fraudes</t>
  </si>
  <si>
    <t>MIs</t>
  </si>
  <si>
    <t>Tesorería</t>
  </si>
  <si>
    <t>App Móvil</t>
  </si>
  <si>
    <t>Portal Web</t>
  </si>
  <si>
    <t>Cross</t>
  </si>
  <si>
    <t>Propuesta Santander</t>
  </si>
  <si>
    <t>Migrate</t>
  </si>
  <si>
    <t>Invest</t>
  </si>
  <si>
    <t>Tolerate</t>
  </si>
  <si>
    <t>Eliminate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</si>
</sst>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595959"/>
      <name val="Arial"/>
      <charset val="1"/>
    </font>
    <font>
      <b/>
      <sz val="12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2F75B6"/>
      <name val="Arial"/>
      <charset val="1"/>
    </font>
    <font>
      <b/>
      <sz val="10"/>
      <color rgb="FF2F75B6"/>
      <name val="Arial"/>
      <charset val="1"/>
    </font>
    <font>
      <sz val="10"/>
      <color rgb="FF000000"/>
      <name val="Arial"/>
      <charset val="1"/>
    </font>
    <font>
      <b/>
      <sz val="11"/>
      <color rgb="FF375623"/>
      <name val="Arial"/>
      <charset val="1"/>
    </font>
    <font>
      <b/>
      <sz val="10"/>
      <color rgb="FF375623"/>
      <name val="Arial"/>
      <charset val="1"/>
    </font>
    <font>
      <b/>
      <sz val="11"/>
      <color rgb="FF7F6000"/>
      <name val="Arial"/>
      <charset val="1"/>
    </font>
    <font>
      <b/>
      <sz val="10"/>
      <color rgb="FF7F6000"/>
      <name val="Arial"/>
      <charset val="1"/>
    </font>
    <font>
      <b/>
      <sz val="11"/>
      <color rgb="FF843C0C"/>
      <name val="Arial"/>
      <charset val="1"/>
    </font>
    <font>
      <b/>
      <sz val="10"/>
      <color rgb="FF843C0C"/>
      <name val="Arial"/>
      <charset val="1"/>
    </font>
    <font>
      <b/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595959"/>
      <name val="Arial"/>
      <charset val="1"/>
    </font>
    <font>
      <b/>
      <sz val="11"/>
      <color rgb="FF1F4E79"/>
      <name val="Arial"/>
      <charset val="1"/>
    </font>
    <font>
      <i/>
      <sz val="10"/>
      <color rgb="FF595959"/>
      <name val="Arial"/>
      <charset val="1"/>
    </font>
    <font>
      <b/>
      <sz val="14"/>
      <color rgb="FF375623"/>
      <name val="Arial"/>
      <charset val="1"/>
    </font>
    <font>
      <sz val="11"/>
      <color rgb="FF375623"/>
      <name val="Arial"/>
      <charset val="1"/>
    </font>
    <font>
      <sz val="10"/>
      <color rgb="FF375623"/>
      <name val="Arial"/>
      <charset val="1"/>
    </font>
    <font>
      <b/>
      <sz val="14"/>
      <color rgb="FF7F6000"/>
      <name val="Arial"/>
      <charset val="1"/>
    </font>
    <font>
      <sz val="11"/>
      <color rgb="FF7F6000"/>
      <name val="Arial"/>
      <charset val="1"/>
    </font>
    <font>
      <sz val="10"/>
      <color rgb="FF7F6000"/>
      <name val="Arial"/>
      <charset val="1"/>
    </font>
    <font>
      <b/>
      <sz val="14"/>
      <color rgb="FF2F75B6"/>
      <name val="Arial"/>
      <charset val="1"/>
    </font>
    <font>
      <sz val="11"/>
      <color rgb="FF2F75B6"/>
      <name val="Arial"/>
      <charset val="1"/>
    </font>
    <font>
      <sz val="10"/>
      <color rgb="FF2F75B6"/>
      <name val="Arial"/>
      <charset val="1"/>
    </font>
    <font>
      <b/>
      <sz val="14"/>
      <color rgb="FF843C0C"/>
      <name val="Arial"/>
      <charset val="1"/>
    </font>
    <font>
      <sz val="11"/>
      <color rgb="FF843C0C"/>
      <name val="Arial"/>
      <charset val="1"/>
    </font>
    <font>
      <sz val="10"/>
      <color rgb="FF843C0C"/>
      <name val="Arial"/>
      <charset val="1"/>
    </font>
    <font>
      <b/>
      <sz val="11"/>
      <color rgb="FFFFFFFF"/>
      <name val="Arial"/>
      <charset val="1"/>
    </font>
    <font>
      <i/>
      <sz val="10"/>
      <color rgb="FF000000"/>
      <name val="Arial"/>
      <charset val="1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6DCE4"/>
        <bgColor rgb="FFDEEBF7"/>
      </patternFill>
    </fill>
    <fill>
      <patternFill patternType="solid">
        <fgColor rgb="FFFFFFFF"/>
        <bgColor rgb="FFF5F5F5"/>
      </patternFill>
    </fill>
    <fill>
      <patternFill patternType="solid">
        <fgColor rgb="FFDEEBF7"/>
        <bgColor rgb="FFEBF3FB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1F3864"/>
      </patternFill>
    </fill>
    <fill>
      <patternFill patternType="solid">
        <fgColor rgb="FF4472C4"/>
        <bgColor rgb="FF2F75B6"/>
      </patternFill>
    </fill>
    <fill>
      <patternFill patternType="solid">
        <fgColor rgb="FFEBF3FB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F2F2F2"/>
        <bgColor rgb="FFF5F5F5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3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5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34" fillId="4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33" fillId="2" borderId="0" xfId="0" applyFont="1" applyFill="1" applyAlignment="1">
      <alignment horizontal="left" vertical="center"/>
    </xf>
    <xf numFmtId="0" fontId="8" fillId="4" borderId="2" xfId="0" applyFont="1" applyFill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sz val="10"/>
        <color rgb="FF843C0C"/>
        <name val="Arial"/>
        <charset val="1"/>
      </font>
      <fill>
        <patternFill>
          <bgColor rgb="FFFCE4D6"/>
        </patternFill>
      </fill>
    </dxf>
    <dxf>
      <font>
        <b/>
        <sz val="10"/>
        <color rgb="FF2F75B6"/>
        <name val="Arial"/>
        <charset val="1"/>
      </font>
      <fill>
        <patternFill>
          <bgColor rgb="FFDEEBF7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1"/>
        <color rgb="FF843C0C"/>
        <name val="Arial"/>
        <charset val="1"/>
      </font>
      <fill>
        <patternFill>
          <bgColor rgb="FFFCE4D6"/>
        </patternFill>
      </fill>
    </dxf>
    <dxf>
      <font>
        <b/>
        <sz val="11"/>
        <color rgb="FF2F75B6"/>
        <name val="Arial"/>
        <charset val="1"/>
      </font>
      <fill>
        <patternFill>
          <bgColor rgb="FFDEEBF7"/>
        </patternFill>
      </fill>
    </dxf>
    <dxf>
      <font>
        <b/>
        <sz val="11"/>
        <color rgb="FF7F6000"/>
        <name val="Arial"/>
        <charset val="1"/>
      </font>
      <fill>
        <patternFill>
          <bgColor rgb="FFFFF2CC"/>
        </patternFill>
      </fill>
    </dxf>
    <dxf>
      <font>
        <b/>
        <sz val="11"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2F75B6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5F5F5"/>
      <rgbColor rgb="FFF2F2F2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showGridLines="0" zoomScaleNormal="100" workbookViewId="0"/>
  </sheetViews>
  <sheetFormatPr baseColWidth="10" defaultColWidth="8.7265625" defaultRowHeight="14.5" x14ac:dyDescent="0.35"/>
  <cols>
    <col min="1" max="1" width="2" customWidth="1"/>
    <col min="2" max="2" width="22" customWidth="1"/>
    <col min="3" max="3" width="55" customWidth="1"/>
    <col min="4" max="5" width="22" customWidth="1"/>
  </cols>
  <sheetData>
    <row r="2" spans="2:5" ht="36" customHeight="1" x14ac:dyDescent="0.35">
      <c r="B2" s="52" t="s">
        <v>0</v>
      </c>
      <c r="C2" s="52"/>
      <c r="D2" s="52"/>
      <c r="E2" s="52"/>
    </row>
    <row r="3" spans="2:5" ht="19.5" customHeight="1" x14ac:dyDescent="0.35">
      <c r="B3" s="53" t="s">
        <v>1</v>
      </c>
      <c r="C3" s="53"/>
      <c r="D3" s="53"/>
      <c r="E3" s="53"/>
    </row>
    <row r="5" spans="2:5" ht="15.5" x14ac:dyDescent="0.35">
      <c r="B5" s="54" t="s">
        <v>2</v>
      </c>
      <c r="C5" s="54"/>
      <c r="D5" s="54"/>
      <c r="E5" s="54"/>
    </row>
    <row r="6" spans="2:5" ht="42" customHeight="1" x14ac:dyDescent="0.35">
      <c r="B6" s="1" t="s">
        <v>3</v>
      </c>
      <c r="C6" s="55" t="s">
        <v>4</v>
      </c>
      <c r="D6" s="55"/>
      <c r="E6" s="55"/>
    </row>
    <row r="7" spans="2:5" ht="42" customHeight="1" x14ac:dyDescent="0.35">
      <c r="B7" s="1" t="s">
        <v>5</v>
      </c>
      <c r="C7" s="55" t="s">
        <v>6</v>
      </c>
      <c r="D7" s="55"/>
      <c r="E7" s="55"/>
    </row>
    <row r="8" spans="2:5" ht="42" customHeight="1" x14ac:dyDescent="0.35">
      <c r="B8" s="1" t="s">
        <v>7</v>
      </c>
      <c r="C8" s="55" t="s">
        <v>8</v>
      </c>
      <c r="D8" s="55"/>
      <c r="E8" s="55"/>
    </row>
    <row r="9" spans="2:5" ht="42" customHeight="1" x14ac:dyDescent="0.35">
      <c r="B9" s="1" t="s">
        <v>9</v>
      </c>
      <c r="C9" s="55" t="s">
        <v>10</v>
      </c>
      <c r="D9" s="55"/>
      <c r="E9" s="55"/>
    </row>
    <row r="10" spans="2:5" ht="42" customHeight="1" x14ac:dyDescent="0.35">
      <c r="B10" s="1" t="s">
        <v>11</v>
      </c>
      <c r="C10" s="55" t="s">
        <v>12</v>
      </c>
      <c r="D10" s="55"/>
      <c r="E10" s="55"/>
    </row>
    <row r="11" spans="2:5" ht="42" customHeight="1" x14ac:dyDescent="0.35">
      <c r="B11" s="1" t="s">
        <v>13</v>
      </c>
      <c r="C11" s="55" t="s">
        <v>14</v>
      </c>
      <c r="D11" s="55"/>
      <c r="E11" s="55"/>
    </row>
    <row r="13" spans="2:5" ht="15.5" x14ac:dyDescent="0.35">
      <c r="B13" s="54" t="s">
        <v>15</v>
      </c>
      <c r="C13" s="54"/>
      <c r="D13" s="54"/>
      <c r="E13" s="54"/>
    </row>
    <row r="14" spans="2:5" ht="37.5" customHeight="1" x14ac:dyDescent="0.35">
      <c r="B14" s="2" t="s">
        <v>16</v>
      </c>
      <c r="C14" s="3" t="s">
        <v>17</v>
      </c>
      <c r="D14" s="56" t="s">
        <v>18</v>
      </c>
      <c r="E14" s="56"/>
    </row>
    <row r="15" spans="2:5" ht="37.5" customHeight="1" x14ac:dyDescent="0.35">
      <c r="B15" s="4" t="s">
        <v>19</v>
      </c>
      <c r="C15" s="5" t="s">
        <v>20</v>
      </c>
      <c r="D15" s="57" t="s">
        <v>21</v>
      </c>
      <c r="E15" s="57"/>
    </row>
    <row r="16" spans="2:5" ht="37.5" customHeight="1" x14ac:dyDescent="0.35">
      <c r="B16" s="6" t="s">
        <v>22</v>
      </c>
      <c r="C16" s="7" t="s">
        <v>23</v>
      </c>
      <c r="D16" s="58" t="s">
        <v>24</v>
      </c>
      <c r="E16" s="58"/>
    </row>
    <row r="17" spans="2:5" ht="37.5" customHeight="1" x14ac:dyDescent="0.35">
      <c r="B17" s="8" t="s">
        <v>25</v>
      </c>
      <c r="C17" s="9" t="s">
        <v>26</v>
      </c>
      <c r="D17" s="59" t="s">
        <v>27</v>
      </c>
      <c r="E17" s="59"/>
    </row>
    <row r="19" spans="2:5" ht="15.5" x14ac:dyDescent="0.35">
      <c r="B19" s="54" t="s">
        <v>28</v>
      </c>
      <c r="C19" s="54"/>
      <c r="D19" s="54"/>
      <c r="E19" s="54"/>
    </row>
    <row r="20" spans="2:5" ht="30" customHeight="1" x14ac:dyDescent="0.35">
      <c r="B20" s="10" t="s">
        <v>29</v>
      </c>
      <c r="C20" s="60" t="s">
        <v>30</v>
      </c>
      <c r="D20" s="60"/>
      <c r="E20" s="60"/>
    </row>
    <row r="21" spans="2:5" ht="30" customHeight="1" x14ac:dyDescent="0.35">
      <c r="B21" s="10" t="s">
        <v>31</v>
      </c>
      <c r="C21" s="60" t="s">
        <v>32</v>
      </c>
      <c r="D21" s="60"/>
      <c r="E21" s="60"/>
    </row>
    <row r="22" spans="2:5" ht="30" customHeight="1" x14ac:dyDescent="0.35">
      <c r="B22" s="10" t="s">
        <v>33</v>
      </c>
      <c r="C22" s="60" t="s">
        <v>34</v>
      </c>
      <c r="D22" s="60"/>
      <c r="E22" s="60"/>
    </row>
    <row r="23" spans="2:5" ht="30" customHeight="1" x14ac:dyDescent="0.35">
      <c r="B23" s="10" t="s">
        <v>35</v>
      </c>
      <c r="C23" s="60" t="s">
        <v>36</v>
      </c>
      <c r="D23" s="60"/>
      <c r="E23" s="60"/>
    </row>
    <row r="24" spans="2:5" ht="30" customHeight="1" x14ac:dyDescent="0.35">
      <c r="B24" s="10" t="s">
        <v>37</v>
      </c>
      <c r="C24" s="60" t="s">
        <v>38</v>
      </c>
      <c r="D24" s="60"/>
      <c r="E24" s="60"/>
    </row>
    <row r="25" spans="2:5" ht="30" customHeight="1" x14ac:dyDescent="0.35">
      <c r="B25" s="10" t="s">
        <v>39</v>
      </c>
      <c r="C25" s="60" t="s">
        <v>40</v>
      </c>
      <c r="D25" s="60"/>
      <c r="E25" s="60"/>
    </row>
  </sheetData>
  <mergeCells count="21">
    <mergeCell ref="C25:E25"/>
    <mergeCell ref="C20:E20"/>
    <mergeCell ref="C21:E21"/>
    <mergeCell ref="C22:E22"/>
    <mergeCell ref="C23:E23"/>
    <mergeCell ref="C24:E24"/>
    <mergeCell ref="D14:E14"/>
    <mergeCell ref="D15:E15"/>
    <mergeCell ref="D16:E16"/>
    <mergeCell ref="D17:E17"/>
    <mergeCell ref="B19:E19"/>
    <mergeCell ref="C8:E8"/>
    <mergeCell ref="C9:E9"/>
    <mergeCell ref="C10:E10"/>
    <mergeCell ref="C11:E11"/>
    <mergeCell ref="B13:E13"/>
    <mergeCell ref="B2:E2"/>
    <mergeCell ref="B3:E3"/>
    <mergeCell ref="B5:E5"/>
    <mergeCell ref="C6:E6"/>
    <mergeCell ref="C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85"/>
  <sheetViews>
    <sheetView showGridLines="0" tabSelected="1" zoomScaleNormal="100" workbookViewId="0">
      <pane xSplit="2" ySplit="2" topLeftCell="F14" activePane="bottomRight" state="frozen"/>
      <selection pane="topRight" activeCell="C1" sqref="C1"/>
      <selection pane="bottomLeft" activeCell="A3" sqref="A3"/>
      <selection pane="bottomRight" activeCell="K66" sqref="K66"/>
    </sheetView>
  </sheetViews>
  <sheetFormatPr baseColWidth="10" defaultColWidth="8.7265625" defaultRowHeight="14.5" x14ac:dyDescent="0.35"/>
  <cols>
    <col min="1" max="1" width="3" customWidth="1"/>
    <col min="2" max="2" width="28" customWidth="1"/>
    <col min="3" max="4" width="22" customWidth="1"/>
    <col min="5" max="5" width="14" style="49" customWidth="1"/>
    <col min="6" max="8" width="16" customWidth="1"/>
    <col min="9" max="9" width="18" customWidth="1"/>
    <col min="10" max="11" width="17" customWidth="1"/>
    <col min="12" max="12" width="32" customWidth="1"/>
  </cols>
  <sheetData>
    <row r="1" spans="1:12" ht="30" customHeight="1" x14ac:dyDescent="0.35">
      <c r="A1" s="50" t="s">
        <v>41</v>
      </c>
      <c r="B1" s="50"/>
      <c r="C1" s="50"/>
      <c r="D1" s="50"/>
      <c r="E1" s="51"/>
      <c r="F1" s="50"/>
      <c r="G1" s="50"/>
      <c r="H1" s="50"/>
      <c r="I1" s="50"/>
      <c r="J1" s="50"/>
      <c r="K1" s="50"/>
      <c r="L1" s="50"/>
    </row>
    <row r="2" spans="1:12" ht="37.5" customHeight="1" x14ac:dyDescent="0.35">
      <c r="A2" s="11" t="s">
        <v>42</v>
      </c>
      <c r="B2" s="11" t="s">
        <v>43</v>
      </c>
      <c r="C2" s="11" t="s">
        <v>44</v>
      </c>
      <c r="D2" s="11" t="s">
        <v>129</v>
      </c>
      <c r="E2" s="11" t="s">
        <v>45</v>
      </c>
      <c r="F2" s="12" t="s">
        <v>46</v>
      </c>
      <c r="G2" s="12" t="s">
        <v>47</v>
      </c>
      <c r="H2" s="13" t="s">
        <v>48</v>
      </c>
      <c r="I2" s="13" t="s">
        <v>49</v>
      </c>
      <c r="J2" s="13" t="s">
        <v>50</v>
      </c>
      <c r="K2" s="13" t="s">
        <v>184</v>
      </c>
      <c r="L2" s="11" t="s">
        <v>51</v>
      </c>
    </row>
    <row r="3" spans="1:12" ht="21.75" customHeight="1" x14ac:dyDescent="0.35">
      <c r="A3" s="14">
        <v>1</v>
      </c>
      <c r="B3" s="15" t="s">
        <v>76</v>
      </c>
      <c r="C3" s="16" t="s">
        <v>183</v>
      </c>
      <c r="D3" s="16" t="s">
        <v>156</v>
      </c>
      <c r="E3" s="16" t="s">
        <v>159</v>
      </c>
      <c r="F3" s="18" t="s">
        <v>52</v>
      </c>
      <c r="G3" s="18" t="s">
        <v>55</v>
      </c>
      <c r="H3" s="19" t="str">
        <f t="shared" ref="H3:H10" si="0">IF(OR(F3="",G3=""),"",IF(F3="Alto",IF(G3="Alta","I — Invest","M — Migrate"),IF(G3="Alta","T — Tolerate","E — Eliminate")))</f>
        <v>M — Migrate</v>
      </c>
      <c r="I3" s="17" t="str">
        <f t="shared" ref="I3:I10" si="1">IF(H3="","",IF(H3="I — Invest","R6 — Refactor",IF(H3="M — Migrate","R4 — Replatform",IF(H3="T — Tolerate","Retain","Retire"))))</f>
        <v>R4 — Replatform</v>
      </c>
      <c r="J3" s="17" t="str">
        <f t="shared" ref="J3:J10" si="2">IF(H3="","",IF(H3="M — Migrate","🔴 Alta",IF(H3="I — Invest","🟡 Media-Alta",IF(H3="T — Tolerate","🟢 Baja","⚪ Descomisionar"))))</f>
        <v>🔴 Alta</v>
      </c>
      <c r="K3" s="65" t="s">
        <v>187</v>
      </c>
      <c r="L3" s="20"/>
    </row>
    <row r="4" spans="1:12" ht="32" customHeight="1" x14ac:dyDescent="0.35">
      <c r="A4" s="21">
        <v>2</v>
      </c>
      <c r="B4" s="22" t="s">
        <v>79</v>
      </c>
      <c r="C4" s="23" t="s">
        <v>125</v>
      </c>
      <c r="D4" s="23" t="s">
        <v>157</v>
      </c>
      <c r="E4" s="16" t="s">
        <v>181</v>
      </c>
      <c r="F4" s="18" t="s">
        <v>54</v>
      </c>
      <c r="G4" s="18" t="s">
        <v>53</v>
      </c>
      <c r="H4" s="25" t="str">
        <f t="shared" si="0"/>
        <v>T — Tolerate</v>
      </c>
      <c r="I4" s="24" t="str">
        <f t="shared" si="1"/>
        <v>Retain</v>
      </c>
      <c r="J4" s="24" t="str">
        <f t="shared" si="2"/>
        <v>🟢 Baja</v>
      </c>
      <c r="K4" s="65" t="s">
        <v>185</v>
      </c>
      <c r="L4" s="26"/>
    </row>
    <row r="5" spans="1:12" ht="21.75" hidden="1" customHeight="1" x14ac:dyDescent="0.35">
      <c r="A5" s="14">
        <v>3</v>
      </c>
      <c r="B5" s="15" t="s">
        <v>82</v>
      </c>
      <c r="C5" s="16" t="s">
        <v>125</v>
      </c>
      <c r="D5" s="16" t="s">
        <v>158</v>
      </c>
      <c r="E5" s="16" t="s">
        <v>160</v>
      </c>
      <c r="F5" s="18"/>
      <c r="G5" s="18"/>
      <c r="H5" s="19" t="str">
        <f t="shared" si="0"/>
        <v/>
      </c>
      <c r="I5" s="17" t="str">
        <f t="shared" si="1"/>
        <v/>
      </c>
      <c r="J5" s="17" t="str">
        <f t="shared" si="2"/>
        <v/>
      </c>
      <c r="K5" s="65" t="s">
        <v>185</v>
      </c>
      <c r="L5" s="20"/>
    </row>
    <row r="6" spans="1:12" ht="21.75" hidden="1" customHeight="1" x14ac:dyDescent="0.35">
      <c r="A6" s="21">
        <v>4</v>
      </c>
      <c r="B6" s="22" t="s">
        <v>101</v>
      </c>
      <c r="C6" s="23" t="s">
        <v>125</v>
      </c>
      <c r="D6" s="23" t="s">
        <v>156</v>
      </c>
      <c r="E6" s="16" t="s">
        <v>161</v>
      </c>
      <c r="F6" s="18"/>
      <c r="G6" s="18"/>
      <c r="H6" s="25" t="str">
        <f t="shared" si="0"/>
        <v/>
      </c>
      <c r="I6" s="24" t="str">
        <f t="shared" si="1"/>
        <v/>
      </c>
      <c r="J6" s="24" t="str">
        <f t="shared" si="2"/>
        <v/>
      </c>
      <c r="K6" s="65" t="s">
        <v>187</v>
      </c>
      <c r="L6" s="26"/>
    </row>
    <row r="7" spans="1:12" ht="21.75" hidden="1" customHeight="1" x14ac:dyDescent="0.35">
      <c r="A7" s="14">
        <v>5</v>
      </c>
      <c r="B7" s="15" t="s">
        <v>83</v>
      </c>
      <c r="C7" s="16" t="s">
        <v>125</v>
      </c>
      <c r="D7" s="16" t="s">
        <v>158</v>
      </c>
      <c r="E7" s="16" t="s">
        <v>160</v>
      </c>
      <c r="F7" s="18"/>
      <c r="G7" s="18"/>
      <c r="H7" s="19" t="str">
        <f t="shared" si="0"/>
        <v/>
      </c>
      <c r="I7" s="17" t="str">
        <f t="shared" si="1"/>
        <v/>
      </c>
      <c r="J7" s="17" t="str">
        <f t="shared" si="2"/>
        <v/>
      </c>
      <c r="K7" s="17"/>
      <c r="L7" s="20"/>
    </row>
    <row r="8" spans="1:12" ht="21.75" customHeight="1" x14ac:dyDescent="0.35">
      <c r="A8" s="21">
        <v>6</v>
      </c>
      <c r="B8" s="22" t="s">
        <v>130</v>
      </c>
      <c r="C8" s="23" t="s">
        <v>125</v>
      </c>
      <c r="D8" s="23" t="s">
        <v>158</v>
      </c>
      <c r="E8" s="16" t="s">
        <v>182</v>
      </c>
      <c r="F8" s="18" t="s">
        <v>52</v>
      </c>
      <c r="G8" s="18" t="s">
        <v>55</v>
      </c>
      <c r="H8" s="25" t="str">
        <f t="shared" si="0"/>
        <v>M — Migrate</v>
      </c>
      <c r="I8" s="24" t="str">
        <f t="shared" si="1"/>
        <v>R4 — Replatform</v>
      </c>
      <c r="J8" s="24" t="str">
        <f t="shared" si="2"/>
        <v>🔴 Alta</v>
      </c>
      <c r="K8" s="24" t="s">
        <v>185</v>
      </c>
      <c r="L8" s="26"/>
    </row>
    <row r="9" spans="1:12" ht="21.75" customHeight="1" x14ac:dyDescent="0.35">
      <c r="A9" s="14">
        <v>7</v>
      </c>
      <c r="B9" s="15" t="s">
        <v>108</v>
      </c>
      <c r="C9" s="16" t="s">
        <v>125</v>
      </c>
      <c r="D9" s="16" t="s">
        <v>156</v>
      </c>
      <c r="E9" s="16" t="s">
        <v>159</v>
      </c>
      <c r="F9" s="18" t="s">
        <v>52</v>
      </c>
      <c r="G9" s="18" t="s">
        <v>55</v>
      </c>
      <c r="H9" s="19" t="str">
        <f t="shared" si="0"/>
        <v>M — Migrate</v>
      </c>
      <c r="I9" s="17" t="str">
        <f t="shared" si="1"/>
        <v>R4 — Replatform</v>
      </c>
      <c r="J9" s="17" t="str">
        <f t="shared" si="2"/>
        <v>🔴 Alta</v>
      </c>
      <c r="K9" s="66" t="s">
        <v>185</v>
      </c>
      <c r="L9" s="20"/>
    </row>
    <row r="10" spans="1:12" ht="21.75" hidden="1" customHeight="1" x14ac:dyDescent="0.35">
      <c r="A10" s="21">
        <v>8</v>
      </c>
      <c r="B10" s="22" t="s">
        <v>109</v>
      </c>
      <c r="C10" s="23" t="s">
        <v>125</v>
      </c>
      <c r="D10" s="23" t="s">
        <v>156</v>
      </c>
      <c r="E10" s="16" t="s">
        <v>162</v>
      </c>
      <c r="F10" s="18"/>
      <c r="G10" s="18"/>
      <c r="H10" s="25" t="str">
        <f t="shared" si="0"/>
        <v/>
      </c>
      <c r="I10" s="24" t="str">
        <f t="shared" si="1"/>
        <v/>
      </c>
      <c r="J10" s="24" t="str">
        <f t="shared" si="2"/>
        <v/>
      </c>
      <c r="K10" s="24"/>
      <c r="L10" s="26"/>
    </row>
    <row r="11" spans="1:12" ht="21.75" customHeight="1" x14ac:dyDescent="0.35">
      <c r="A11" s="14">
        <v>9</v>
      </c>
      <c r="B11" s="15" t="s">
        <v>110</v>
      </c>
      <c r="C11" s="16" t="s">
        <v>125</v>
      </c>
      <c r="D11" s="16" t="s">
        <v>157</v>
      </c>
      <c r="E11" s="16" t="s">
        <v>163</v>
      </c>
      <c r="F11" s="18" t="s">
        <v>52</v>
      </c>
      <c r="G11" s="18" t="s">
        <v>55</v>
      </c>
      <c r="H11" s="25" t="str">
        <f t="shared" ref="H11:H72" si="3">IF(OR(F11="",G11=""),"",IF(F11="Alto",IF(G11="Alta","I — Invest","M — Migrate"),IF(G11="Alta","T — Tolerate","E — Eliminate")))</f>
        <v>M — Migrate</v>
      </c>
      <c r="I11" s="24" t="str">
        <f t="shared" ref="I11:I72" si="4">IF(H11="","",IF(H11="I — Invest","R6 — Refactor",IF(H11="M — Migrate","R4 — Replatform",IF(H11="T — Tolerate","Retain","Retire"))))</f>
        <v>R4 — Replatform</v>
      </c>
      <c r="J11" s="24" t="str">
        <f t="shared" ref="J11:J72" si="5">IF(H11="","",IF(H11="M — Migrate","🔴 Alta",IF(H11="I — Invest","🟡 Media-Alta",IF(H11="T — Tolerate","🟢 Baja","⚪ Descomisionar"))))</f>
        <v>🔴 Alta</v>
      </c>
      <c r="K11" s="24" t="s">
        <v>185</v>
      </c>
      <c r="L11" s="20"/>
    </row>
    <row r="12" spans="1:12" ht="21.75" customHeight="1" x14ac:dyDescent="0.35">
      <c r="A12" s="21">
        <v>10</v>
      </c>
      <c r="B12" s="22" t="s">
        <v>131</v>
      </c>
      <c r="C12" s="23" t="s">
        <v>127</v>
      </c>
      <c r="D12" s="23" t="s">
        <v>158</v>
      </c>
      <c r="E12" s="16" t="s">
        <v>164</v>
      </c>
      <c r="F12" s="18" t="s">
        <v>54</v>
      </c>
      <c r="G12" s="18" t="s">
        <v>53</v>
      </c>
      <c r="H12" s="25" t="str">
        <f t="shared" si="3"/>
        <v>T — Tolerate</v>
      </c>
      <c r="I12" s="24" t="str">
        <f t="shared" si="4"/>
        <v>Retain</v>
      </c>
      <c r="J12" s="24" t="str">
        <f t="shared" si="5"/>
        <v>🟢 Baja</v>
      </c>
      <c r="K12" s="65" t="s">
        <v>185</v>
      </c>
      <c r="L12" s="26"/>
    </row>
    <row r="13" spans="1:12" ht="21.75" customHeight="1" x14ac:dyDescent="0.35">
      <c r="A13" s="14">
        <v>11</v>
      </c>
      <c r="B13" s="15" t="s">
        <v>132</v>
      </c>
      <c r="C13" s="16" t="s">
        <v>127</v>
      </c>
      <c r="D13" s="16" t="s">
        <v>157</v>
      </c>
      <c r="E13" s="16" t="s">
        <v>165</v>
      </c>
      <c r="F13" s="18" t="s">
        <v>52</v>
      </c>
      <c r="G13" s="18" t="s">
        <v>53</v>
      </c>
      <c r="H13" s="25" t="str">
        <f t="shared" si="3"/>
        <v>I — Invest</v>
      </c>
      <c r="I13" s="24" t="str">
        <f t="shared" si="4"/>
        <v>R6 — Refactor</v>
      </c>
      <c r="J13" s="24" t="str">
        <f t="shared" si="5"/>
        <v>🟡 Media-Alta</v>
      </c>
      <c r="K13" s="65" t="s">
        <v>187</v>
      </c>
      <c r="L13" s="20"/>
    </row>
    <row r="14" spans="1:12" ht="21.75" customHeight="1" x14ac:dyDescent="0.35">
      <c r="A14" s="21">
        <v>12</v>
      </c>
      <c r="B14" s="22" t="s">
        <v>133</v>
      </c>
      <c r="C14" s="23" t="s">
        <v>127</v>
      </c>
      <c r="D14" s="23" t="s">
        <v>157</v>
      </c>
      <c r="E14" s="16" t="s">
        <v>166</v>
      </c>
      <c r="F14" s="18" t="s">
        <v>54</v>
      </c>
      <c r="G14" s="18" t="s">
        <v>53</v>
      </c>
      <c r="H14" s="25" t="str">
        <f t="shared" si="3"/>
        <v>T — Tolerate</v>
      </c>
      <c r="I14" s="24" t="str">
        <f t="shared" si="4"/>
        <v>Retain</v>
      </c>
      <c r="J14" s="24" t="str">
        <f t="shared" si="5"/>
        <v>🟢 Baja</v>
      </c>
      <c r="K14" s="24"/>
      <c r="L14" s="26"/>
    </row>
    <row r="15" spans="1:12" ht="21.75" customHeight="1" x14ac:dyDescent="0.35">
      <c r="A15" s="14">
        <v>13</v>
      </c>
      <c r="B15" s="15" t="s">
        <v>134</v>
      </c>
      <c r="C15" s="16" t="s">
        <v>127</v>
      </c>
      <c r="D15" s="16" t="s">
        <v>156</v>
      </c>
      <c r="E15" s="16" t="s">
        <v>167</v>
      </c>
      <c r="F15" s="18" t="s">
        <v>54</v>
      </c>
      <c r="G15" s="18" t="s">
        <v>55</v>
      </c>
      <c r="H15" s="25" t="str">
        <f t="shared" si="3"/>
        <v>E — Eliminate</v>
      </c>
      <c r="I15" s="24" t="str">
        <f t="shared" si="4"/>
        <v>Retire</v>
      </c>
      <c r="J15" s="24" t="str">
        <f t="shared" si="5"/>
        <v>⚪ Descomisionar</v>
      </c>
      <c r="K15" s="65" t="s">
        <v>187</v>
      </c>
      <c r="L15" s="20"/>
    </row>
    <row r="16" spans="1:12" ht="21.75" customHeight="1" x14ac:dyDescent="0.35">
      <c r="A16" s="21">
        <v>14</v>
      </c>
      <c r="B16" s="22" t="s">
        <v>135</v>
      </c>
      <c r="C16" s="23" t="s">
        <v>127</v>
      </c>
      <c r="D16" s="23" t="s">
        <v>156</v>
      </c>
      <c r="E16" s="16" t="s">
        <v>168</v>
      </c>
      <c r="F16" s="18" t="s">
        <v>52</v>
      </c>
      <c r="G16" s="18" t="s">
        <v>55</v>
      </c>
      <c r="H16" s="25" t="str">
        <f t="shared" si="3"/>
        <v>M — Migrate</v>
      </c>
      <c r="I16" s="24" t="str">
        <f t="shared" si="4"/>
        <v>R4 — Replatform</v>
      </c>
      <c r="J16" s="24" t="str">
        <f t="shared" si="5"/>
        <v>🔴 Alta</v>
      </c>
      <c r="K16" s="65" t="s">
        <v>187</v>
      </c>
      <c r="L16" s="26"/>
    </row>
    <row r="17" spans="1:12" ht="21.75" customHeight="1" x14ac:dyDescent="0.35">
      <c r="A17" s="14">
        <v>15</v>
      </c>
      <c r="B17" s="15" t="s">
        <v>136</v>
      </c>
      <c r="C17" s="16" t="s">
        <v>183</v>
      </c>
      <c r="D17" s="23" t="s">
        <v>156</v>
      </c>
      <c r="E17" s="16" t="s">
        <v>164</v>
      </c>
      <c r="F17" s="18" t="s">
        <v>54</v>
      </c>
      <c r="G17" s="18" t="s">
        <v>55</v>
      </c>
      <c r="H17" s="25" t="str">
        <f t="shared" si="3"/>
        <v>E — Eliminate</v>
      </c>
      <c r="I17" s="24" t="str">
        <f t="shared" si="4"/>
        <v>Retire</v>
      </c>
      <c r="J17" s="24" t="str">
        <f t="shared" si="5"/>
        <v>⚪ Descomisionar</v>
      </c>
      <c r="K17" s="65" t="s">
        <v>185</v>
      </c>
      <c r="L17" s="20"/>
    </row>
    <row r="18" spans="1:12" ht="21.75" customHeight="1" x14ac:dyDescent="0.35">
      <c r="A18" s="21">
        <v>16</v>
      </c>
      <c r="B18" s="22" t="s">
        <v>137</v>
      </c>
      <c r="C18" s="23" t="s">
        <v>127</v>
      </c>
      <c r="D18" s="23" t="s">
        <v>157</v>
      </c>
      <c r="E18" s="16" t="s">
        <v>169</v>
      </c>
      <c r="F18" s="18" t="s">
        <v>52</v>
      </c>
      <c r="G18" s="18" t="s">
        <v>53</v>
      </c>
      <c r="H18" s="25" t="str">
        <f t="shared" si="3"/>
        <v>I — Invest</v>
      </c>
      <c r="I18" s="24" t="str">
        <f t="shared" si="4"/>
        <v>R6 — Refactor</v>
      </c>
      <c r="J18" s="24" t="str">
        <f t="shared" si="5"/>
        <v>🟡 Media-Alta</v>
      </c>
      <c r="K18" s="65" t="s">
        <v>187</v>
      </c>
      <c r="L18" s="26"/>
    </row>
    <row r="19" spans="1:12" ht="21.75" hidden="1" customHeight="1" x14ac:dyDescent="0.35">
      <c r="A19" s="14">
        <v>17</v>
      </c>
      <c r="B19" s="15" t="s">
        <v>138</v>
      </c>
      <c r="C19" s="16" t="s">
        <v>127</v>
      </c>
      <c r="D19" s="16" t="s">
        <v>157</v>
      </c>
      <c r="E19" s="16" t="s">
        <v>169</v>
      </c>
      <c r="F19" s="18"/>
      <c r="G19" s="18"/>
      <c r="H19" s="25" t="str">
        <f t="shared" si="3"/>
        <v/>
      </c>
      <c r="I19" s="24" t="str">
        <f t="shared" si="4"/>
        <v/>
      </c>
      <c r="J19" s="24" t="str">
        <f t="shared" si="5"/>
        <v/>
      </c>
      <c r="K19" s="24"/>
      <c r="L19" s="20"/>
    </row>
    <row r="20" spans="1:12" ht="21.75" hidden="1" customHeight="1" x14ac:dyDescent="0.35">
      <c r="A20" s="21"/>
      <c r="B20" s="22"/>
      <c r="C20" s="23"/>
      <c r="D20" s="23"/>
      <c r="E20" s="16"/>
      <c r="F20" s="18"/>
      <c r="G20" s="18"/>
      <c r="H20" s="25"/>
      <c r="I20" s="24"/>
      <c r="J20" s="24"/>
      <c r="K20" s="24"/>
      <c r="L20" s="26"/>
    </row>
    <row r="21" spans="1:12" ht="21.75" hidden="1" customHeight="1" x14ac:dyDescent="0.35">
      <c r="A21" s="14">
        <v>19</v>
      </c>
      <c r="B21" s="15" t="s">
        <v>83</v>
      </c>
      <c r="C21" s="16" t="s">
        <v>127</v>
      </c>
      <c r="D21" s="16" t="s">
        <v>158</v>
      </c>
      <c r="E21" s="16" t="s">
        <v>160</v>
      </c>
      <c r="F21" s="18"/>
      <c r="G21" s="18"/>
      <c r="H21" s="25" t="str">
        <f t="shared" si="3"/>
        <v/>
      </c>
      <c r="I21" s="24" t="str">
        <f t="shared" si="4"/>
        <v/>
      </c>
      <c r="J21" s="24" t="str">
        <f t="shared" si="5"/>
        <v/>
      </c>
      <c r="K21" s="24"/>
      <c r="L21" s="20"/>
    </row>
    <row r="22" spans="1:12" ht="21.75" hidden="1" customHeight="1" x14ac:dyDescent="0.35">
      <c r="A22" s="21">
        <v>20</v>
      </c>
      <c r="B22" s="22" t="s">
        <v>101</v>
      </c>
      <c r="C22" s="23" t="s">
        <v>127</v>
      </c>
      <c r="D22" s="23" t="s">
        <v>156</v>
      </c>
      <c r="E22" s="16" t="s">
        <v>161</v>
      </c>
      <c r="F22" s="18"/>
      <c r="G22" s="18"/>
      <c r="H22" s="25" t="str">
        <f t="shared" si="3"/>
        <v/>
      </c>
      <c r="I22" s="24" t="str">
        <f t="shared" si="4"/>
        <v/>
      </c>
      <c r="J22" s="24" t="str">
        <f t="shared" si="5"/>
        <v/>
      </c>
      <c r="K22" s="24"/>
      <c r="L22" s="26"/>
    </row>
    <row r="23" spans="1:12" ht="21.75" hidden="1" customHeight="1" x14ac:dyDescent="0.35">
      <c r="A23" s="14">
        <v>21</v>
      </c>
      <c r="B23" s="15" t="s">
        <v>99</v>
      </c>
      <c r="C23" s="16" t="s">
        <v>127</v>
      </c>
      <c r="D23" s="16" t="s">
        <v>157</v>
      </c>
      <c r="E23" s="16" t="s">
        <v>163</v>
      </c>
      <c r="F23" s="18"/>
      <c r="G23" s="18"/>
      <c r="H23" s="25" t="str">
        <f t="shared" si="3"/>
        <v/>
      </c>
      <c r="I23" s="24" t="str">
        <f t="shared" si="4"/>
        <v/>
      </c>
      <c r="J23" s="24" t="str">
        <f t="shared" si="5"/>
        <v/>
      </c>
      <c r="K23" s="24"/>
      <c r="L23" s="20"/>
    </row>
    <row r="24" spans="1:12" ht="21.75" hidden="1" customHeight="1" x14ac:dyDescent="0.35">
      <c r="A24" s="21">
        <v>22</v>
      </c>
      <c r="B24" s="22" t="s">
        <v>104</v>
      </c>
      <c r="C24" s="23" t="s">
        <v>128</v>
      </c>
      <c r="D24" s="23" t="s">
        <v>158</v>
      </c>
      <c r="E24" s="16" t="s">
        <v>160</v>
      </c>
      <c r="F24" s="18"/>
      <c r="G24" s="18"/>
      <c r="H24" s="25" t="str">
        <f t="shared" si="3"/>
        <v/>
      </c>
      <c r="I24" s="24" t="str">
        <f t="shared" si="4"/>
        <v/>
      </c>
      <c r="J24" s="24" t="str">
        <f t="shared" si="5"/>
        <v/>
      </c>
      <c r="K24" s="24"/>
      <c r="L24" s="26"/>
    </row>
    <row r="25" spans="1:12" ht="21.75" customHeight="1" x14ac:dyDescent="0.35">
      <c r="A25" s="14">
        <v>23</v>
      </c>
      <c r="B25" s="15" t="s">
        <v>111</v>
      </c>
      <c r="C25" s="16" t="s">
        <v>128</v>
      </c>
      <c r="D25" s="16" t="s">
        <v>156</v>
      </c>
      <c r="E25" s="16" t="s">
        <v>170</v>
      </c>
      <c r="F25" s="18" t="s">
        <v>54</v>
      </c>
      <c r="G25" s="18" t="s">
        <v>55</v>
      </c>
      <c r="H25" s="25" t="str">
        <f t="shared" si="3"/>
        <v>E — Eliminate</v>
      </c>
      <c r="I25" s="24" t="str">
        <f t="shared" si="4"/>
        <v>Retire</v>
      </c>
      <c r="J25" s="24" t="str">
        <f t="shared" si="5"/>
        <v>⚪ Descomisionar</v>
      </c>
      <c r="K25" s="65" t="s">
        <v>185</v>
      </c>
      <c r="L25" s="20"/>
    </row>
    <row r="26" spans="1:12" ht="21.75" customHeight="1" x14ac:dyDescent="0.35">
      <c r="A26" s="21">
        <v>24</v>
      </c>
      <c r="B26" s="22" t="s">
        <v>139</v>
      </c>
      <c r="C26" s="23" t="s">
        <v>128</v>
      </c>
      <c r="D26" s="23" t="s">
        <v>157</v>
      </c>
      <c r="E26" s="16" t="s">
        <v>169</v>
      </c>
      <c r="F26" s="18" t="s">
        <v>52</v>
      </c>
      <c r="G26" s="18" t="s">
        <v>53</v>
      </c>
      <c r="H26" s="25" t="str">
        <f t="shared" si="3"/>
        <v>I — Invest</v>
      </c>
      <c r="I26" s="24" t="str">
        <f t="shared" si="4"/>
        <v>R6 — Refactor</v>
      </c>
      <c r="J26" s="24" t="str">
        <f t="shared" si="5"/>
        <v>🟡 Media-Alta</v>
      </c>
      <c r="K26" s="65" t="s">
        <v>185</v>
      </c>
      <c r="L26" s="26"/>
    </row>
    <row r="27" spans="1:12" ht="21.75" hidden="1" customHeight="1" x14ac:dyDescent="0.35">
      <c r="A27" s="14">
        <v>25</v>
      </c>
      <c r="B27" s="15" t="s">
        <v>116</v>
      </c>
      <c r="C27" s="16" t="s">
        <v>128</v>
      </c>
      <c r="D27" s="16" t="s">
        <v>158</v>
      </c>
      <c r="E27" s="16" t="s">
        <v>169</v>
      </c>
      <c r="F27" s="18"/>
      <c r="G27" s="18"/>
      <c r="H27" s="25" t="str">
        <f t="shared" si="3"/>
        <v/>
      </c>
      <c r="I27" s="24" t="str">
        <f t="shared" si="4"/>
        <v/>
      </c>
      <c r="J27" s="24" t="str">
        <f t="shared" si="5"/>
        <v/>
      </c>
      <c r="K27" s="24"/>
      <c r="L27" s="20"/>
    </row>
    <row r="28" spans="1:12" ht="21.75" customHeight="1" x14ac:dyDescent="0.35">
      <c r="A28" s="21">
        <v>26</v>
      </c>
      <c r="B28" s="22" t="s">
        <v>117</v>
      </c>
      <c r="C28" s="23" t="s">
        <v>128</v>
      </c>
      <c r="D28" s="23" t="s">
        <v>158</v>
      </c>
      <c r="E28" s="16" t="s">
        <v>169</v>
      </c>
      <c r="F28" s="18" t="s">
        <v>52</v>
      </c>
      <c r="G28" s="18" t="s">
        <v>55</v>
      </c>
      <c r="H28" s="25" t="str">
        <f t="shared" si="3"/>
        <v>M — Migrate</v>
      </c>
      <c r="I28" s="24" t="str">
        <f t="shared" si="4"/>
        <v>R4 — Replatform</v>
      </c>
      <c r="J28" s="24" t="str">
        <f t="shared" si="5"/>
        <v>🔴 Alta</v>
      </c>
      <c r="K28" s="65" t="s">
        <v>185</v>
      </c>
      <c r="L28" s="26"/>
    </row>
    <row r="29" spans="1:12" ht="21.75" customHeight="1" x14ac:dyDescent="0.35">
      <c r="A29" s="14">
        <v>27</v>
      </c>
      <c r="B29" s="15" t="s">
        <v>118</v>
      </c>
      <c r="C29" s="16" t="s">
        <v>128</v>
      </c>
      <c r="D29" s="16" t="s">
        <v>158</v>
      </c>
      <c r="E29" s="16" t="s">
        <v>160</v>
      </c>
      <c r="F29" s="18" t="s">
        <v>52</v>
      </c>
      <c r="G29" s="18" t="s">
        <v>55</v>
      </c>
      <c r="H29" s="25" t="str">
        <f t="shared" si="3"/>
        <v>M — Migrate</v>
      </c>
      <c r="I29" s="24" t="str">
        <f t="shared" si="4"/>
        <v>R4 — Replatform</v>
      </c>
      <c r="J29" s="24" t="str">
        <f t="shared" si="5"/>
        <v>🔴 Alta</v>
      </c>
      <c r="K29" s="65" t="s">
        <v>185</v>
      </c>
      <c r="L29" s="20"/>
    </row>
    <row r="30" spans="1:12" ht="21.75" customHeight="1" x14ac:dyDescent="0.35">
      <c r="A30" s="14">
        <v>29</v>
      </c>
      <c r="B30" s="15" t="s">
        <v>80</v>
      </c>
      <c r="C30" s="16" t="s">
        <v>124</v>
      </c>
      <c r="D30" s="16" t="s">
        <v>156</v>
      </c>
      <c r="E30" s="16" t="s">
        <v>170</v>
      </c>
      <c r="F30" s="18" t="s">
        <v>54</v>
      </c>
      <c r="G30" s="18" t="s">
        <v>55</v>
      </c>
      <c r="H30" s="25" t="str">
        <f t="shared" si="3"/>
        <v>E — Eliminate</v>
      </c>
      <c r="I30" s="24" t="str">
        <f t="shared" si="4"/>
        <v>Retire</v>
      </c>
      <c r="J30" s="24" t="str">
        <f t="shared" si="5"/>
        <v>⚪ Descomisionar</v>
      </c>
      <c r="K30" s="65" t="s">
        <v>186</v>
      </c>
      <c r="L30" s="20"/>
    </row>
    <row r="31" spans="1:12" ht="21.75" customHeight="1" x14ac:dyDescent="0.35">
      <c r="A31" s="21">
        <v>30</v>
      </c>
      <c r="B31" s="22" t="s">
        <v>81</v>
      </c>
      <c r="C31" s="23" t="s">
        <v>124</v>
      </c>
      <c r="D31" s="23" t="s">
        <v>158</v>
      </c>
      <c r="E31" s="16" t="s">
        <v>171</v>
      </c>
      <c r="F31" s="18" t="s">
        <v>54</v>
      </c>
      <c r="G31" s="18" t="s">
        <v>55</v>
      </c>
      <c r="H31" s="25" t="str">
        <f t="shared" si="3"/>
        <v>E — Eliminate</v>
      </c>
      <c r="I31" s="24" t="str">
        <f t="shared" si="4"/>
        <v>Retire</v>
      </c>
      <c r="J31" s="24" t="str">
        <f t="shared" si="5"/>
        <v>⚪ Descomisionar</v>
      </c>
      <c r="K31" s="24" t="s">
        <v>186</v>
      </c>
      <c r="L31" s="26"/>
    </row>
    <row r="32" spans="1:12" ht="21.75" customHeight="1" x14ac:dyDescent="0.35">
      <c r="A32" s="14">
        <v>31</v>
      </c>
      <c r="B32" s="15" t="s">
        <v>140</v>
      </c>
      <c r="C32" s="16" t="s">
        <v>124</v>
      </c>
      <c r="D32" s="16" t="s">
        <v>157</v>
      </c>
      <c r="E32" s="16" t="s">
        <v>172</v>
      </c>
      <c r="F32" s="18" t="s">
        <v>52</v>
      </c>
      <c r="G32" s="18" t="s">
        <v>55</v>
      </c>
      <c r="H32" s="25" t="str">
        <f t="shared" si="3"/>
        <v>M — Migrate</v>
      </c>
      <c r="I32" s="24" t="str">
        <f t="shared" si="4"/>
        <v>R4 — Replatform</v>
      </c>
      <c r="J32" s="24" t="str">
        <f t="shared" si="5"/>
        <v>🔴 Alta</v>
      </c>
      <c r="K32" s="24"/>
      <c r="L32" s="20"/>
    </row>
    <row r="33" spans="1:12" ht="21.75" customHeight="1" x14ac:dyDescent="0.35">
      <c r="A33" s="21">
        <v>32</v>
      </c>
      <c r="B33" s="22" t="s">
        <v>141</v>
      </c>
      <c r="C33" s="23" t="s">
        <v>124</v>
      </c>
      <c r="D33" s="16" t="s">
        <v>157</v>
      </c>
      <c r="E33" s="16" t="s">
        <v>164</v>
      </c>
      <c r="F33" s="18" t="s">
        <v>52</v>
      </c>
      <c r="G33" s="18" t="s">
        <v>53</v>
      </c>
      <c r="H33" s="25" t="str">
        <f t="shared" si="3"/>
        <v>I — Invest</v>
      </c>
      <c r="I33" s="24" t="str">
        <f t="shared" si="4"/>
        <v>R6 — Refactor</v>
      </c>
      <c r="J33" s="24" t="str">
        <f t="shared" si="5"/>
        <v>🟡 Media-Alta</v>
      </c>
      <c r="K33" s="24" t="s">
        <v>186</v>
      </c>
      <c r="L33" s="26"/>
    </row>
    <row r="34" spans="1:12" ht="21.75" customHeight="1" x14ac:dyDescent="0.35">
      <c r="A34" s="14">
        <v>33</v>
      </c>
      <c r="B34" s="15" t="s">
        <v>101</v>
      </c>
      <c r="C34" s="16" t="s">
        <v>124</v>
      </c>
      <c r="D34" s="16" t="s">
        <v>156</v>
      </c>
      <c r="E34" s="16" t="s">
        <v>161</v>
      </c>
      <c r="F34" s="18" t="s">
        <v>52</v>
      </c>
      <c r="G34" s="18" t="s">
        <v>55</v>
      </c>
      <c r="H34" s="25" t="str">
        <f t="shared" si="3"/>
        <v>M — Migrate</v>
      </c>
      <c r="I34" s="24" t="str">
        <f t="shared" si="4"/>
        <v>R4 — Replatform</v>
      </c>
      <c r="J34" s="24" t="str">
        <f t="shared" si="5"/>
        <v>🔴 Alta</v>
      </c>
      <c r="K34" s="24" t="s">
        <v>185</v>
      </c>
      <c r="L34" s="20"/>
    </row>
    <row r="35" spans="1:12" ht="21.75" customHeight="1" x14ac:dyDescent="0.35">
      <c r="A35" s="21">
        <v>34</v>
      </c>
      <c r="B35" s="22" t="s">
        <v>142</v>
      </c>
      <c r="C35" s="23" t="s">
        <v>124</v>
      </c>
      <c r="D35" s="23" t="s">
        <v>156</v>
      </c>
      <c r="E35" s="16" t="s">
        <v>170</v>
      </c>
      <c r="F35" s="18" t="s">
        <v>54</v>
      </c>
      <c r="G35" s="18" t="s">
        <v>53</v>
      </c>
      <c r="H35" s="25" t="str">
        <f t="shared" si="3"/>
        <v>T — Tolerate</v>
      </c>
      <c r="I35" s="24" t="str">
        <f t="shared" si="4"/>
        <v>Retain</v>
      </c>
      <c r="J35" s="24" t="str">
        <f t="shared" si="5"/>
        <v>🟢 Baja</v>
      </c>
      <c r="K35" s="65" t="s">
        <v>186</v>
      </c>
      <c r="L35" s="26"/>
    </row>
    <row r="36" spans="1:12" ht="21.75" customHeight="1" x14ac:dyDescent="0.35">
      <c r="A36" s="14">
        <v>35</v>
      </c>
      <c r="B36" s="15" t="s">
        <v>83</v>
      </c>
      <c r="C36" s="16" t="s">
        <v>124</v>
      </c>
      <c r="D36" s="16" t="s">
        <v>158</v>
      </c>
      <c r="E36" s="16" t="s">
        <v>160</v>
      </c>
      <c r="F36" s="18" t="s">
        <v>54</v>
      </c>
      <c r="G36" s="18" t="s">
        <v>55</v>
      </c>
      <c r="H36" s="25" t="str">
        <f t="shared" si="3"/>
        <v>E — Eliminate</v>
      </c>
      <c r="I36" s="24" t="str">
        <f t="shared" si="4"/>
        <v>Retire</v>
      </c>
      <c r="J36" s="24" t="str">
        <f t="shared" si="5"/>
        <v>⚪ Descomisionar</v>
      </c>
      <c r="K36" s="65" t="s">
        <v>185</v>
      </c>
      <c r="L36" s="20"/>
    </row>
    <row r="37" spans="1:12" ht="21.75" hidden="1" customHeight="1" x14ac:dyDescent="0.35">
      <c r="A37" s="21"/>
      <c r="B37" s="22"/>
      <c r="C37" s="23"/>
      <c r="D37" s="23"/>
      <c r="E37" s="16"/>
      <c r="F37" s="18"/>
      <c r="G37" s="18"/>
      <c r="H37" s="25"/>
      <c r="I37" s="24"/>
      <c r="J37" s="24"/>
      <c r="K37" s="24"/>
      <c r="L37" s="26"/>
    </row>
    <row r="38" spans="1:12" ht="21.75" customHeight="1" x14ac:dyDescent="0.35">
      <c r="A38" s="14">
        <v>37</v>
      </c>
      <c r="B38" s="15" t="s">
        <v>105</v>
      </c>
      <c r="C38" s="16" t="s">
        <v>124</v>
      </c>
      <c r="D38" s="16" t="s">
        <v>157</v>
      </c>
      <c r="E38" s="16" t="s">
        <v>163</v>
      </c>
      <c r="F38" s="18" t="s">
        <v>52</v>
      </c>
      <c r="G38" s="18" t="s">
        <v>53</v>
      </c>
      <c r="H38" s="25" t="str">
        <f t="shared" si="3"/>
        <v>I — Invest</v>
      </c>
      <c r="I38" s="24" t="str">
        <f t="shared" si="4"/>
        <v>R6 — Refactor</v>
      </c>
      <c r="J38" s="24" t="str">
        <f t="shared" si="5"/>
        <v>🟡 Media-Alta</v>
      </c>
      <c r="K38" s="24" t="s">
        <v>187</v>
      </c>
      <c r="L38" s="20"/>
    </row>
    <row r="39" spans="1:12" ht="21.75" customHeight="1" x14ac:dyDescent="0.35">
      <c r="A39" s="21">
        <v>38</v>
      </c>
      <c r="B39" s="22" t="s">
        <v>106</v>
      </c>
      <c r="C39" s="23" t="s">
        <v>124</v>
      </c>
      <c r="D39" s="23" t="s">
        <v>157</v>
      </c>
      <c r="E39" s="16" t="s">
        <v>173</v>
      </c>
      <c r="F39" s="18" t="s">
        <v>52</v>
      </c>
      <c r="G39" s="18" t="s">
        <v>53</v>
      </c>
      <c r="H39" s="25" t="str">
        <f t="shared" si="3"/>
        <v>I — Invest</v>
      </c>
      <c r="I39" s="24" t="str">
        <f t="shared" si="4"/>
        <v>R6 — Refactor</v>
      </c>
      <c r="J39" s="24" t="str">
        <f t="shared" si="5"/>
        <v>🟡 Media-Alta</v>
      </c>
      <c r="K39" s="65" t="s">
        <v>186</v>
      </c>
      <c r="L39" s="26"/>
    </row>
    <row r="40" spans="1:12" ht="21.75" customHeight="1" x14ac:dyDescent="0.35">
      <c r="A40" s="14">
        <v>39</v>
      </c>
      <c r="B40" s="15" t="s">
        <v>107</v>
      </c>
      <c r="C40" s="16" t="s">
        <v>124</v>
      </c>
      <c r="D40" s="16" t="s">
        <v>157</v>
      </c>
      <c r="E40" s="16" t="s">
        <v>164</v>
      </c>
      <c r="F40" s="18" t="s">
        <v>52</v>
      </c>
      <c r="G40" s="18" t="s">
        <v>53</v>
      </c>
      <c r="H40" s="25" t="str">
        <f t="shared" si="3"/>
        <v>I — Invest</v>
      </c>
      <c r="I40" s="24" t="str">
        <f t="shared" si="4"/>
        <v>R6 — Refactor</v>
      </c>
      <c r="J40" s="24" t="str">
        <f t="shared" si="5"/>
        <v>🟡 Media-Alta</v>
      </c>
      <c r="K40" s="65" t="s">
        <v>186</v>
      </c>
      <c r="L40" s="20"/>
    </row>
    <row r="41" spans="1:12" ht="21.75" hidden="1" customHeight="1" x14ac:dyDescent="0.35">
      <c r="A41" s="21">
        <v>40</v>
      </c>
      <c r="B41" s="22" t="s">
        <v>143</v>
      </c>
      <c r="C41" s="23" t="s">
        <v>124</v>
      </c>
      <c r="D41" s="23" t="s">
        <v>157</v>
      </c>
      <c r="E41" s="16" t="s">
        <v>166</v>
      </c>
      <c r="F41" s="18"/>
      <c r="G41" s="18"/>
      <c r="H41" s="25" t="str">
        <f t="shared" si="3"/>
        <v/>
      </c>
      <c r="I41" s="24" t="str">
        <f t="shared" si="4"/>
        <v/>
      </c>
      <c r="J41" s="24" t="str">
        <f t="shared" si="5"/>
        <v/>
      </c>
      <c r="K41" s="24"/>
      <c r="L41" s="26"/>
    </row>
    <row r="42" spans="1:12" ht="21.75" customHeight="1" x14ac:dyDescent="0.35">
      <c r="A42" s="14">
        <v>41</v>
      </c>
      <c r="B42" s="15" t="s">
        <v>144</v>
      </c>
      <c r="C42" s="16" t="s">
        <v>124</v>
      </c>
      <c r="D42" s="16" t="s">
        <v>157</v>
      </c>
      <c r="E42" s="16" t="s">
        <v>173</v>
      </c>
      <c r="F42" s="18" t="s">
        <v>54</v>
      </c>
      <c r="G42" s="18" t="s">
        <v>53</v>
      </c>
      <c r="H42" s="25" t="str">
        <f t="shared" si="3"/>
        <v>T — Tolerate</v>
      </c>
      <c r="I42" s="24" t="str">
        <f t="shared" si="4"/>
        <v>Retain</v>
      </c>
      <c r="J42" s="24" t="str">
        <f t="shared" si="5"/>
        <v>🟢 Baja</v>
      </c>
      <c r="K42" s="65" t="s">
        <v>187</v>
      </c>
      <c r="L42" s="20"/>
    </row>
    <row r="43" spans="1:12" ht="21.75" customHeight="1" x14ac:dyDescent="0.35">
      <c r="A43" s="21">
        <v>42</v>
      </c>
      <c r="B43" s="22" t="s">
        <v>135</v>
      </c>
      <c r="C43" s="23" t="s">
        <v>124</v>
      </c>
      <c r="D43" s="23" t="s">
        <v>157</v>
      </c>
      <c r="E43" s="16" t="s">
        <v>168</v>
      </c>
      <c r="F43" s="18" t="s">
        <v>54</v>
      </c>
      <c r="G43" s="18" t="s">
        <v>53</v>
      </c>
      <c r="H43" s="25" t="str">
        <f t="shared" si="3"/>
        <v>T — Tolerate</v>
      </c>
      <c r="I43" s="24" t="str">
        <f t="shared" si="4"/>
        <v>Retain</v>
      </c>
      <c r="J43" s="24" t="str">
        <f t="shared" si="5"/>
        <v>🟢 Baja</v>
      </c>
      <c r="K43" s="65" t="s">
        <v>187</v>
      </c>
      <c r="L43" s="26"/>
    </row>
    <row r="44" spans="1:12" ht="21.75" hidden="1" customHeight="1" x14ac:dyDescent="0.35">
      <c r="A44" s="14">
        <v>43</v>
      </c>
      <c r="B44" s="15" t="s">
        <v>113</v>
      </c>
      <c r="C44" s="16" t="s">
        <v>124</v>
      </c>
      <c r="D44" s="16" t="s">
        <v>156</v>
      </c>
      <c r="E44" s="16" t="s">
        <v>170</v>
      </c>
      <c r="F44" s="18"/>
      <c r="G44" s="18"/>
      <c r="H44" s="25" t="str">
        <f t="shared" si="3"/>
        <v/>
      </c>
      <c r="I44" s="24" t="str">
        <f t="shared" si="4"/>
        <v/>
      </c>
      <c r="J44" s="24" t="str">
        <f t="shared" si="5"/>
        <v/>
      </c>
      <c r="K44" s="24"/>
      <c r="L44" s="20"/>
    </row>
    <row r="45" spans="1:12" ht="21.75" customHeight="1" x14ac:dyDescent="0.35">
      <c r="A45" s="21">
        <v>44</v>
      </c>
      <c r="B45" s="22" t="s">
        <v>145</v>
      </c>
      <c r="C45" s="23" t="s">
        <v>124</v>
      </c>
      <c r="D45" s="16" t="s">
        <v>157</v>
      </c>
      <c r="E45" s="16" t="s">
        <v>174</v>
      </c>
      <c r="F45" s="18" t="s">
        <v>52</v>
      </c>
      <c r="G45" s="18" t="s">
        <v>55</v>
      </c>
      <c r="H45" s="25" t="str">
        <f t="shared" si="3"/>
        <v>M — Migrate</v>
      </c>
      <c r="I45" s="24" t="str">
        <f t="shared" si="4"/>
        <v>R4 — Replatform</v>
      </c>
      <c r="J45" s="24" t="str">
        <f t="shared" si="5"/>
        <v>🔴 Alta</v>
      </c>
      <c r="K45" s="24"/>
      <c r="L45" s="26"/>
    </row>
    <row r="46" spans="1:12" ht="21.75" hidden="1" customHeight="1" x14ac:dyDescent="0.35">
      <c r="A46" s="14">
        <v>45</v>
      </c>
      <c r="B46" s="15" t="s">
        <v>146</v>
      </c>
      <c r="C46" s="16" t="s">
        <v>124</v>
      </c>
      <c r="D46" s="16"/>
      <c r="E46" s="16" t="s">
        <v>169</v>
      </c>
      <c r="F46" s="18"/>
      <c r="G46" s="18"/>
      <c r="H46" s="25" t="str">
        <f t="shared" si="3"/>
        <v/>
      </c>
      <c r="I46" s="24" t="str">
        <f t="shared" si="4"/>
        <v/>
      </c>
      <c r="J46" s="24" t="str">
        <f t="shared" si="5"/>
        <v/>
      </c>
      <c r="K46" s="24"/>
      <c r="L46" s="20"/>
    </row>
    <row r="47" spans="1:12" ht="21.75" customHeight="1" x14ac:dyDescent="0.35">
      <c r="A47" s="21">
        <v>46</v>
      </c>
      <c r="B47" s="22" t="s">
        <v>147</v>
      </c>
      <c r="C47" s="23" t="s">
        <v>124</v>
      </c>
      <c r="D47" s="16" t="s">
        <v>157</v>
      </c>
      <c r="E47" s="16" t="s">
        <v>175</v>
      </c>
      <c r="F47" s="18" t="s">
        <v>52</v>
      </c>
      <c r="G47" s="18" t="s">
        <v>53</v>
      </c>
      <c r="H47" s="25" t="str">
        <f t="shared" si="3"/>
        <v>I — Invest</v>
      </c>
      <c r="I47" s="24" t="str">
        <f t="shared" si="4"/>
        <v>R6 — Refactor</v>
      </c>
      <c r="J47" s="24" t="str">
        <f t="shared" si="5"/>
        <v>🟡 Media-Alta</v>
      </c>
      <c r="K47" s="24"/>
      <c r="L47" s="26"/>
    </row>
    <row r="48" spans="1:12" ht="21.75" hidden="1" customHeight="1" x14ac:dyDescent="0.35">
      <c r="A48" s="14">
        <v>47</v>
      </c>
      <c r="B48" s="15" t="s">
        <v>148</v>
      </c>
      <c r="C48" s="16" t="s">
        <v>124</v>
      </c>
      <c r="D48" s="16"/>
      <c r="E48" s="16" t="s">
        <v>160</v>
      </c>
      <c r="F48" s="18"/>
      <c r="G48" s="18"/>
      <c r="H48" s="25" t="str">
        <f t="shared" si="3"/>
        <v/>
      </c>
      <c r="I48" s="24" t="str">
        <f t="shared" si="4"/>
        <v/>
      </c>
      <c r="J48" s="24" t="str">
        <f t="shared" si="5"/>
        <v/>
      </c>
      <c r="K48" s="24"/>
      <c r="L48" s="20"/>
    </row>
    <row r="49" spans="1:12" ht="21.75" hidden="1" customHeight="1" x14ac:dyDescent="0.35">
      <c r="A49" s="21">
        <v>48</v>
      </c>
      <c r="B49" s="22" t="s">
        <v>123</v>
      </c>
      <c r="C49" s="23" t="s">
        <v>124</v>
      </c>
      <c r="D49" s="23"/>
      <c r="E49" s="16" t="s">
        <v>173</v>
      </c>
      <c r="F49" s="18"/>
      <c r="G49" s="18"/>
      <c r="H49" s="25" t="str">
        <f t="shared" si="3"/>
        <v/>
      </c>
      <c r="I49" s="24" t="str">
        <f t="shared" si="4"/>
        <v/>
      </c>
      <c r="J49" s="24" t="str">
        <f t="shared" si="5"/>
        <v/>
      </c>
      <c r="K49" s="24"/>
      <c r="L49" s="26"/>
    </row>
    <row r="50" spans="1:12" ht="21.75" customHeight="1" x14ac:dyDescent="0.35">
      <c r="A50" s="14">
        <v>49</v>
      </c>
      <c r="B50" s="15" t="s">
        <v>120</v>
      </c>
      <c r="C50" s="16" t="s">
        <v>124</v>
      </c>
      <c r="D50" s="16" t="s">
        <v>157</v>
      </c>
      <c r="E50" s="16"/>
      <c r="F50" s="18" t="s">
        <v>54</v>
      </c>
      <c r="G50" s="18" t="s">
        <v>55</v>
      </c>
      <c r="H50" s="25" t="str">
        <f t="shared" si="3"/>
        <v>E — Eliminate</v>
      </c>
      <c r="I50" s="24" t="str">
        <f t="shared" si="4"/>
        <v>Retire</v>
      </c>
      <c r="J50" s="24" t="str">
        <f t="shared" si="5"/>
        <v>⚪ Descomisionar</v>
      </c>
      <c r="K50" s="24" t="s">
        <v>185</v>
      </c>
      <c r="L50" s="20"/>
    </row>
    <row r="51" spans="1:12" ht="21.75" customHeight="1" x14ac:dyDescent="0.35">
      <c r="A51" s="21">
        <v>50</v>
      </c>
      <c r="B51" s="22" t="s">
        <v>121</v>
      </c>
      <c r="C51" s="23" t="s">
        <v>124</v>
      </c>
      <c r="D51" s="16" t="s">
        <v>157</v>
      </c>
      <c r="E51" s="16"/>
      <c r="F51" s="18" t="s">
        <v>54</v>
      </c>
      <c r="G51" s="18" t="s">
        <v>53</v>
      </c>
      <c r="H51" s="25" t="str">
        <f t="shared" si="3"/>
        <v>T — Tolerate</v>
      </c>
      <c r="I51" s="24" t="str">
        <f t="shared" si="4"/>
        <v>Retain</v>
      </c>
      <c r="J51" s="24" t="str">
        <f t="shared" si="5"/>
        <v>🟢 Baja</v>
      </c>
      <c r="K51" s="24" t="s">
        <v>185</v>
      </c>
      <c r="L51" s="26"/>
    </row>
    <row r="52" spans="1:12" x14ac:dyDescent="0.35">
      <c r="A52" s="21">
        <f>A51+1</f>
        <v>51</v>
      </c>
      <c r="B52" s="22" t="s">
        <v>122</v>
      </c>
      <c r="C52" s="23" t="s">
        <v>124</v>
      </c>
      <c r="D52" s="16" t="s">
        <v>157</v>
      </c>
      <c r="E52" s="16" t="s">
        <v>176</v>
      </c>
      <c r="F52" s="18" t="s">
        <v>54</v>
      </c>
      <c r="G52" s="18" t="s">
        <v>55</v>
      </c>
      <c r="H52" s="25" t="str">
        <f t="shared" si="3"/>
        <v>E — Eliminate</v>
      </c>
      <c r="I52" s="24" t="str">
        <f t="shared" si="4"/>
        <v>Retire</v>
      </c>
      <c r="J52" s="24" t="str">
        <f t="shared" si="5"/>
        <v>⚪ Descomisionar</v>
      </c>
      <c r="K52" s="65" t="s">
        <v>185</v>
      </c>
      <c r="L52" s="26"/>
    </row>
    <row r="53" spans="1:12" x14ac:dyDescent="0.35">
      <c r="A53" s="21">
        <f t="shared" ref="A53:A85" si="6">A52+1</f>
        <v>52</v>
      </c>
      <c r="B53" s="22" t="s">
        <v>77</v>
      </c>
      <c r="C53" s="23" t="s">
        <v>126</v>
      </c>
      <c r="D53" s="23" t="s">
        <v>158</v>
      </c>
      <c r="E53" s="16" t="s">
        <v>177</v>
      </c>
      <c r="F53" s="18" t="s">
        <v>54</v>
      </c>
      <c r="G53" s="18"/>
      <c r="H53" s="25" t="str">
        <f t="shared" si="3"/>
        <v/>
      </c>
      <c r="I53" s="24" t="str">
        <f t="shared" si="4"/>
        <v/>
      </c>
      <c r="J53" s="24" t="str">
        <f t="shared" si="5"/>
        <v/>
      </c>
      <c r="K53" s="65" t="s">
        <v>187</v>
      </c>
      <c r="L53" s="26"/>
    </row>
    <row r="54" spans="1:12" x14ac:dyDescent="0.35">
      <c r="A54" s="21">
        <f t="shared" si="6"/>
        <v>53</v>
      </c>
      <c r="B54" s="22" t="s">
        <v>149</v>
      </c>
      <c r="C54" s="23" t="s">
        <v>126</v>
      </c>
      <c r="D54" s="23" t="s">
        <v>158</v>
      </c>
      <c r="E54" s="16" t="s">
        <v>164</v>
      </c>
      <c r="F54" s="18" t="s">
        <v>54</v>
      </c>
      <c r="G54" s="18" t="s">
        <v>53</v>
      </c>
      <c r="H54" s="25" t="str">
        <f t="shared" si="3"/>
        <v>T — Tolerate</v>
      </c>
      <c r="I54" s="24" t="str">
        <f t="shared" si="4"/>
        <v>Retain</v>
      </c>
      <c r="J54" s="24" t="str">
        <f t="shared" si="5"/>
        <v>🟢 Baja</v>
      </c>
      <c r="K54" s="65" t="s">
        <v>185</v>
      </c>
      <c r="L54" s="26"/>
    </row>
    <row r="55" spans="1:12" x14ac:dyDescent="0.35">
      <c r="A55" s="21">
        <f t="shared" si="6"/>
        <v>54</v>
      </c>
      <c r="B55" s="22" t="s">
        <v>78</v>
      </c>
      <c r="C55" s="23" t="s">
        <v>126</v>
      </c>
      <c r="D55" s="23" t="s">
        <v>156</v>
      </c>
      <c r="E55" s="16" t="s">
        <v>162</v>
      </c>
      <c r="F55" s="18" t="s">
        <v>54</v>
      </c>
      <c r="G55" s="18" t="s">
        <v>55</v>
      </c>
      <c r="H55" s="25" t="str">
        <f t="shared" si="3"/>
        <v>E — Eliminate</v>
      </c>
      <c r="I55" s="24" t="str">
        <f t="shared" si="4"/>
        <v>Retire</v>
      </c>
      <c r="J55" s="24" t="str">
        <f t="shared" si="5"/>
        <v>⚪ Descomisionar</v>
      </c>
      <c r="K55" s="65" t="s">
        <v>185</v>
      </c>
      <c r="L55" s="26"/>
    </row>
    <row r="56" spans="1:12" x14ac:dyDescent="0.35">
      <c r="A56" s="21">
        <f t="shared" si="6"/>
        <v>55</v>
      </c>
      <c r="B56" s="22" t="s">
        <v>150</v>
      </c>
      <c r="C56" s="23" t="s">
        <v>126</v>
      </c>
      <c r="D56" s="23" t="s">
        <v>156</v>
      </c>
      <c r="E56" s="16" t="s">
        <v>170</v>
      </c>
      <c r="F56" s="18" t="s">
        <v>52</v>
      </c>
      <c r="G56" s="18" t="s">
        <v>53</v>
      </c>
      <c r="H56" s="25" t="str">
        <f t="shared" si="3"/>
        <v>I — Invest</v>
      </c>
      <c r="I56" s="24" t="str">
        <f t="shared" si="4"/>
        <v>R6 — Refactor</v>
      </c>
      <c r="J56" s="24" t="str">
        <f t="shared" si="5"/>
        <v>🟡 Media-Alta</v>
      </c>
      <c r="K56" s="65" t="s">
        <v>187</v>
      </c>
      <c r="L56" s="26"/>
    </row>
    <row r="57" spans="1:12" x14ac:dyDescent="0.35">
      <c r="A57" s="21">
        <f t="shared" si="6"/>
        <v>56</v>
      </c>
      <c r="B57" s="22" t="s">
        <v>84</v>
      </c>
      <c r="C57" s="23" t="s">
        <v>126</v>
      </c>
      <c r="D57" s="23" t="s">
        <v>156</v>
      </c>
      <c r="E57" s="16" t="s">
        <v>178</v>
      </c>
      <c r="F57" s="18" t="s">
        <v>52</v>
      </c>
      <c r="G57" s="18" t="s">
        <v>53</v>
      </c>
      <c r="H57" s="25" t="str">
        <f t="shared" si="3"/>
        <v>I — Invest</v>
      </c>
      <c r="I57" s="24" t="str">
        <f t="shared" si="4"/>
        <v>R6 — Refactor</v>
      </c>
      <c r="J57" s="24" t="str">
        <f t="shared" si="5"/>
        <v>🟡 Media-Alta</v>
      </c>
      <c r="K57" s="67" t="s">
        <v>186</v>
      </c>
      <c r="L57" s="26"/>
    </row>
    <row r="58" spans="1:12" hidden="1" x14ac:dyDescent="0.35">
      <c r="A58" s="21">
        <f t="shared" si="6"/>
        <v>57</v>
      </c>
      <c r="B58" s="22" t="s">
        <v>151</v>
      </c>
      <c r="C58" s="23" t="s">
        <v>126</v>
      </c>
      <c r="D58" s="23" t="s">
        <v>157</v>
      </c>
      <c r="E58" s="16" t="s">
        <v>164</v>
      </c>
      <c r="F58" s="18"/>
      <c r="G58" s="18"/>
      <c r="H58" s="25" t="str">
        <f t="shared" si="3"/>
        <v/>
      </c>
      <c r="I58" s="24" t="str">
        <f t="shared" si="4"/>
        <v/>
      </c>
      <c r="J58" s="24" t="str">
        <f t="shared" si="5"/>
        <v/>
      </c>
      <c r="K58" s="24"/>
      <c r="L58" s="26"/>
    </row>
    <row r="59" spans="1:12" hidden="1" x14ac:dyDescent="0.35">
      <c r="A59" s="21">
        <f t="shared" si="6"/>
        <v>58</v>
      </c>
      <c r="B59" s="22" t="s">
        <v>85</v>
      </c>
      <c r="C59" s="23" t="s">
        <v>126</v>
      </c>
      <c r="D59" s="23" t="s">
        <v>156</v>
      </c>
      <c r="E59" s="16" t="s">
        <v>162</v>
      </c>
      <c r="F59" s="18"/>
      <c r="G59" s="18"/>
      <c r="H59" s="25" t="str">
        <f t="shared" si="3"/>
        <v/>
      </c>
      <c r="I59" s="24" t="str">
        <f t="shared" si="4"/>
        <v/>
      </c>
      <c r="J59" s="24" t="str">
        <f t="shared" si="5"/>
        <v/>
      </c>
      <c r="K59" s="24"/>
      <c r="L59" s="26"/>
    </row>
    <row r="60" spans="1:12" x14ac:dyDescent="0.35">
      <c r="A60" s="21">
        <f t="shared" si="6"/>
        <v>59</v>
      </c>
      <c r="B60" s="22" t="s">
        <v>86</v>
      </c>
      <c r="C60" s="23" t="s">
        <v>126</v>
      </c>
      <c r="D60" s="23" t="s">
        <v>156</v>
      </c>
      <c r="E60" s="16" t="s">
        <v>161</v>
      </c>
      <c r="F60" s="18" t="s">
        <v>54</v>
      </c>
      <c r="G60" s="18" t="s">
        <v>55</v>
      </c>
      <c r="H60" s="25" t="str">
        <f t="shared" si="3"/>
        <v>E — Eliminate</v>
      </c>
      <c r="I60" s="24" t="str">
        <f t="shared" si="4"/>
        <v>Retire</v>
      </c>
      <c r="J60" s="24" t="str">
        <f t="shared" si="5"/>
        <v>⚪ Descomisionar</v>
      </c>
      <c r="K60" s="65" t="s">
        <v>185</v>
      </c>
      <c r="L60" s="26"/>
    </row>
    <row r="61" spans="1:12" hidden="1" x14ac:dyDescent="0.35">
      <c r="A61" s="21">
        <f t="shared" si="6"/>
        <v>60</v>
      </c>
      <c r="B61" s="22" t="s">
        <v>87</v>
      </c>
      <c r="C61" s="23" t="s">
        <v>126</v>
      </c>
      <c r="D61" s="23" t="s">
        <v>156</v>
      </c>
      <c r="E61" s="16" t="s">
        <v>162</v>
      </c>
      <c r="F61" s="18"/>
      <c r="G61" s="18"/>
      <c r="H61" s="25" t="str">
        <f t="shared" si="3"/>
        <v/>
      </c>
      <c r="I61" s="24" t="str">
        <f t="shared" si="4"/>
        <v/>
      </c>
      <c r="J61" s="24" t="str">
        <f t="shared" si="5"/>
        <v/>
      </c>
      <c r="K61" s="24"/>
      <c r="L61" s="26"/>
    </row>
    <row r="62" spans="1:12" x14ac:dyDescent="0.35">
      <c r="A62" s="21">
        <f t="shared" si="6"/>
        <v>61</v>
      </c>
      <c r="B62" s="22" t="s">
        <v>88</v>
      </c>
      <c r="C62" s="23" t="s">
        <v>126</v>
      </c>
      <c r="D62" s="23" t="s">
        <v>156</v>
      </c>
      <c r="E62" s="16" t="s">
        <v>170</v>
      </c>
      <c r="F62" s="18" t="s">
        <v>54</v>
      </c>
      <c r="G62" s="18" t="s">
        <v>55</v>
      </c>
      <c r="H62" s="25" t="str">
        <f t="shared" si="3"/>
        <v>E — Eliminate</v>
      </c>
      <c r="I62" s="24" t="str">
        <f t="shared" si="4"/>
        <v>Retire</v>
      </c>
      <c r="J62" s="24" t="str">
        <f t="shared" si="5"/>
        <v>⚪ Descomisionar</v>
      </c>
      <c r="K62" s="65" t="s">
        <v>185</v>
      </c>
      <c r="L62" s="26"/>
    </row>
    <row r="63" spans="1:12" hidden="1" x14ac:dyDescent="0.35">
      <c r="A63" s="21">
        <f t="shared" si="6"/>
        <v>62</v>
      </c>
      <c r="B63" s="22" t="s">
        <v>89</v>
      </c>
      <c r="C63" s="23" t="s">
        <v>126</v>
      </c>
      <c r="D63" s="23" t="s">
        <v>158</v>
      </c>
      <c r="E63" s="16" t="s">
        <v>168</v>
      </c>
      <c r="F63" s="18"/>
      <c r="G63" s="18"/>
      <c r="H63" s="25" t="str">
        <f t="shared" si="3"/>
        <v/>
      </c>
      <c r="I63" s="24" t="str">
        <f t="shared" si="4"/>
        <v/>
      </c>
      <c r="J63" s="24" t="str">
        <f t="shared" si="5"/>
        <v/>
      </c>
      <c r="K63" s="24"/>
      <c r="L63" s="26"/>
    </row>
    <row r="64" spans="1:12" x14ac:dyDescent="0.35">
      <c r="A64" s="21">
        <f t="shared" si="6"/>
        <v>63</v>
      </c>
      <c r="B64" s="22" t="s">
        <v>90</v>
      </c>
      <c r="C64" s="23" t="s">
        <v>126</v>
      </c>
      <c r="D64" s="23" t="s">
        <v>158</v>
      </c>
      <c r="E64" s="16" t="s">
        <v>160</v>
      </c>
      <c r="F64" s="18" t="s">
        <v>54</v>
      </c>
      <c r="G64" s="18" t="s">
        <v>55</v>
      </c>
      <c r="H64" s="25" t="str">
        <f t="shared" si="3"/>
        <v>E — Eliminate</v>
      </c>
      <c r="I64" s="24" t="str">
        <f t="shared" si="4"/>
        <v>Retire</v>
      </c>
      <c r="J64" s="24" t="str">
        <f t="shared" si="5"/>
        <v>⚪ Descomisionar</v>
      </c>
      <c r="K64" s="65" t="s">
        <v>185</v>
      </c>
      <c r="L64" s="26"/>
    </row>
    <row r="65" spans="1:12" x14ac:dyDescent="0.35">
      <c r="A65" s="21">
        <f t="shared" si="6"/>
        <v>64</v>
      </c>
      <c r="B65" s="22" t="s">
        <v>91</v>
      </c>
      <c r="C65" s="23" t="s">
        <v>126</v>
      </c>
      <c r="D65" s="23" t="s">
        <v>157</v>
      </c>
      <c r="E65" s="16" t="s">
        <v>169</v>
      </c>
      <c r="F65" s="18" t="s">
        <v>52</v>
      </c>
      <c r="G65" s="18" t="s">
        <v>53</v>
      </c>
      <c r="H65" s="25" t="str">
        <f t="shared" si="3"/>
        <v>I — Invest</v>
      </c>
      <c r="I65" s="24" t="str">
        <f t="shared" si="4"/>
        <v>R6 — Refactor</v>
      </c>
      <c r="J65" s="24" t="str">
        <f t="shared" si="5"/>
        <v>🟡 Media-Alta</v>
      </c>
      <c r="K65" s="66" t="s">
        <v>186</v>
      </c>
      <c r="L65" s="26"/>
    </row>
    <row r="66" spans="1:12" x14ac:dyDescent="0.35">
      <c r="A66" s="21">
        <f t="shared" si="6"/>
        <v>65</v>
      </c>
      <c r="B66" s="22" t="s">
        <v>92</v>
      </c>
      <c r="C66" s="23" t="s">
        <v>126</v>
      </c>
      <c r="D66" s="23" t="s">
        <v>157</v>
      </c>
      <c r="E66" s="16" t="s">
        <v>169</v>
      </c>
      <c r="F66" s="18" t="s">
        <v>54</v>
      </c>
      <c r="G66" s="18" t="s">
        <v>53</v>
      </c>
      <c r="H66" s="25" t="str">
        <f t="shared" si="3"/>
        <v>T — Tolerate</v>
      </c>
      <c r="I66" s="24" t="str">
        <f t="shared" si="4"/>
        <v>Retain</v>
      </c>
      <c r="J66" s="24" t="str">
        <f t="shared" si="5"/>
        <v>🟢 Baja</v>
      </c>
      <c r="K66" s="67" t="s">
        <v>187</v>
      </c>
      <c r="L66" s="26"/>
    </row>
    <row r="67" spans="1:12" x14ac:dyDescent="0.35">
      <c r="A67" s="21">
        <f t="shared" si="6"/>
        <v>66</v>
      </c>
      <c r="B67" s="22" t="s">
        <v>93</v>
      </c>
      <c r="C67" s="23" t="s">
        <v>126</v>
      </c>
      <c r="D67" s="23" t="s">
        <v>156</v>
      </c>
      <c r="E67" s="16" t="s">
        <v>173</v>
      </c>
      <c r="F67" s="18" t="s">
        <v>54</v>
      </c>
      <c r="G67" s="18" t="s">
        <v>55</v>
      </c>
      <c r="H67" s="25" t="str">
        <f t="shared" si="3"/>
        <v>E — Eliminate</v>
      </c>
      <c r="I67" s="24" t="str">
        <f t="shared" si="4"/>
        <v>Retire</v>
      </c>
      <c r="J67" s="24" t="str">
        <f t="shared" si="5"/>
        <v>⚪ Descomisionar</v>
      </c>
      <c r="K67" s="65" t="s">
        <v>187</v>
      </c>
      <c r="L67" s="26"/>
    </row>
    <row r="68" spans="1:12" x14ac:dyDescent="0.35">
      <c r="A68" s="21">
        <f t="shared" si="6"/>
        <v>67</v>
      </c>
      <c r="B68" s="22" t="s">
        <v>94</v>
      </c>
      <c r="C68" s="23" t="s">
        <v>126</v>
      </c>
      <c r="D68" s="23" t="s">
        <v>157</v>
      </c>
      <c r="E68" s="16" t="s">
        <v>160</v>
      </c>
      <c r="F68" s="18" t="s">
        <v>54</v>
      </c>
      <c r="G68" s="18" t="s">
        <v>53</v>
      </c>
      <c r="H68" s="25" t="str">
        <f t="shared" si="3"/>
        <v>T — Tolerate</v>
      </c>
      <c r="I68" s="24" t="str">
        <f t="shared" si="4"/>
        <v>Retain</v>
      </c>
      <c r="J68" s="24" t="str">
        <f t="shared" si="5"/>
        <v>🟢 Baja</v>
      </c>
      <c r="K68" s="65" t="s">
        <v>185</v>
      </c>
      <c r="L68" s="26"/>
    </row>
    <row r="69" spans="1:12" x14ac:dyDescent="0.35">
      <c r="A69" s="21">
        <f t="shared" si="6"/>
        <v>68</v>
      </c>
      <c r="B69" s="22" t="s">
        <v>95</v>
      </c>
      <c r="C69" s="23" t="s">
        <v>126</v>
      </c>
      <c r="D69" s="23" t="s">
        <v>156</v>
      </c>
      <c r="E69" s="16" t="s">
        <v>173</v>
      </c>
      <c r="F69" s="18" t="s">
        <v>52</v>
      </c>
      <c r="G69" s="18" t="s">
        <v>53</v>
      </c>
      <c r="H69" s="25" t="str">
        <f t="shared" si="3"/>
        <v>I — Invest</v>
      </c>
      <c r="I69" s="24" t="str">
        <f t="shared" si="4"/>
        <v>R6 — Refactor</v>
      </c>
      <c r="J69" s="24" t="str">
        <f t="shared" si="5"/>
        <v>🟡 Media-Alta</v>
      </c>
      <c r="K69" s="65" t="s">
        <v>187</v>
      </c>
      <c r="L69" s="26"/>
    </row>
    <row r="70" spans="1:12" x14ac:dyDescent="0.35">
      <c r="A70" s="21">
        <f t="shared" si="6"/>
        <v>69</v>
      </c>
      <c r="B70" s="22" t="s">
        <v>152</v>
      </c>
      <c r="C70" s="23" t="s">
        <v>126</v>
      </c>
      <c r="D70" s="23" t="s">
        <v>156</v>
      </c>
      <c r="E70" s="16" t="s">
        <v>170</v>
      </c>
      <c r="F70" s="18" t="s">
        <v>54</v>
      </c>
      <c r="G70" s="18" t="s">
        <v>55</v>
      </c>
      <c r="H70" s="25" t="str">
        <f t="shared" si="3"/>
        <v>E — Eliminate</v>
      </c>
      <c r="I70" s="24" t="str">
        <f t="shared" si="4"/>
        <v>Retire</v>
      </c>
      <c r="J70" s="24" t="str">
        <f t="shared" si="5"/>
        <v>⚪ Descomisionar</v>
      </c>
      <c r="K70" s="65" t="s">
        <v>187</v>
      </c>
      <c r="L70" s="26"/>
    </row>
    <row r="71" spans="1:12" x14ac:dyDescent="0.35">
      <c r="A71" s="21">
        <f t="shared" si="6"/>
        <v>70</v>
      </c>
      <c r="B71" s="22" t="s">
        <v>153</v>
      </c>
      <c r="C71" s="23" t="s">
        <v>126</v>
      </c>
      <c r="D71" s="23" t="s">
        <v>156</v>
      </c>
      <c r="E71" s="16" t="s">
        <v>179</v>
      </c>
      <c r="F71" s="18" t="s">
        <v>54</v>
      </c>
      <c r="G71" s="18" t="s">
        <v>55</v>
      </c>
      <c r="H71" s="25" t="str">
        <f t="shared" si="3"/>
        <v>E — Eliminate</v>
      </c>
      <c r="I71" s="24" t="str">
        <f t="shared" si="4"/>
        <v>Retire</v>
      </c>
      <c r="J71" s="24" t="str">
        <f t="shared" si="5"/>
        <v>⚪ Descomisionar</v>
      </c>
      <c r="K71" s="65" t="s">
        <v>187</v>
      </c>
      <c r="L71" s="26"/>
    </row>
    <row r="72" spans="1:12" x14ac:dyDescent="0.35">
      <c r="A72" s="21">
        <f t="shared" si="6"/>
        <v>71</v>
      </c>
      <c r="B72" s="22" t="s">
        <v>96</v>
      </c>
      <c r="C72" s="23" t="s">
        <v>126</v>
      </c>
      <c r="D72" s="23" t="s">
        <v>158</v>
      </c>
      <c r="E72" s="16" t="s">
        <v>180</v>
      </c>
      <c r="F72" s="18" t="s">
        <v>54</v>
      </c>
      <c r="G72" s="18" t="s">
        <v>53</v>
      </c>
      <c r="H72" s="25" t="str">
        <f t="shared" si="3"/>
        <v>T — Tolerate</v>
      </c>
      <c r="I72" s="24" t="str">
        <f t="shared" si="4"/>
        <v>Retain</v>
      </c>
      <c r="J72" s="24" t="str">
        <f t="shared" si="5"/>
        <v>🟢 Baja</v>
      </c>
      <c r="K72" s="65" t="s">
        <v>187</v>
      </c>
      <c r="L72" s="26"/>
    </row>
    <row r="73" spans="1:12" hidden="1" x14ac:dyDescent="0.35">
      <c r="A73" s="21">
        <f t="shared" si="6"/>
        <v>72</v>
      </c>
      <c r="B73" s="22" t="s">
        <v>97</v>
      </c>
      <c r="C73" s="23" t="s">
        <v>126</v>
      </c>
      <c r="D73" s="23" t="s">
        <v>156</v>
      </c>
      <c r="E73" s="16" t="s">
        <v>162</v>
      </c>
      <c r="F73" s="18"/>
      <c r="G73" s="18"/>
      <c r="H73" s="25" t="str">
        <f t="shared" ref="H73:H79" si="7">IF(OR(F73="",G73=""),"",IF(F73="Alto",IF(G73="Alta","I — Invest","M — Migrate"),IF(G73="Alta","T — Tolerate","E — Eliminate")))</f>
        <v/>
      </c>
      <c r="I73" s="24" t="str">
        <f t="shared" ref="I73:I79" si="8">IF(H73="","",IF(H73="I — Invest","R6 — Refactor",IF(H73="M — Migrate","R4 — Replatform",IF(H73="T — Tolerate","Retain","Retire"))))</f>
        <v/>
      </c>
      <c r="J73" s="24" t="str">
        <f t="shared" ref="J73:J79" si="9">IF(H73="","",IF(H73="M — Migrate","🔴 Alta",IF(H73="I — Invest","🟡 Media-Alta",IF(H73="T — Tolerate","🟢 Baja","⚪ Descomisionar"))))</f>
        <v/>
      </c>
      <c r="K73" s="24"/>
      <c r="L73" s="26"/>
    </row>
    <row r="74" spans="1:12" x14ac:dyDescent="0.35">
      <c r="A74" s="21">
        <f t="shared" si="6"/>
        <v>73</v>
      </c>
      <c r="B74" s="22" t="s">
        <v>154</v>
      </c>
      <c r="C74" s="23" t="s">
        <v>126</v>
      </c>
      <c r="D74" s="23" t="s">
        <v>157</v>
      </c>
      <c r="E74" s="16" t="s">
        <v>173</v>
      </c>
      <c r="F74" s="18" t="s">
        <v>54</v>
      </c>
      <c r="G74" s="18" t="s">
        <v>53</v>
      </c>
      <c r="H74" s="25" t="str">
        <f t="shared" si="7"/>
        <v>T — Tolerate</v>
      </c>
      <c r="I74" s="24" t="str">
        <f t="shared" si="8"/>
        <v>Retain</v>
      </c>
      <c r="J74" s="24" t="str">
        <f t="shared" si="9"/>
        <v>🟢 Baja</v>
      </c>
      <c r="K74" s="65" t="s">
        <v>188</v>
      </c>
      <c r="L74" s="26"/>
    </row>
    <row r="75" spans="1:12" hidden="1" x14ac:dyDescent="0.35">
      <c r="A75" s="21">
        <f t="shared" si="6"/>
        <v>74</v>
      </c>
      <c r="B75" s="22" t="s">
        <v>98</v>
      </c>
      <c r="C75" s="23" t="s">
        <v>126</v>
      </c>
      <c r="D75" s="23" t="s">
        <v>156</v>
      </c>
      <c r="E75" s="47" t="s">
        <v>170</v>
      </c>
      <c r="F75" s="18"/>
      <c r="G75" s="18"/>
      <c r="H75" s="25" t="str">
        <f t="shared" si="7"/>
        <v/>
      </c>
      <c r="I75" s="24" t="str">
        <f t="shared" si="8"/>
        <v/>
      </c>
      <c r="J75" s="24" t="str">
        <f t="shared" si="9"/>
        <v/>
      </c>
      <c r="K75" s="24"/>
      <c r="L75" s="26"/>
    </row>
    <row r="76" spans="1:12" hidden="1" x14ac:dyDescent="0.35">
      <c r="A76" s="21">
        <f t="shared" si="6"/>
        <v>75</v>
      </c>
      <c r="B76" s="22" t="s">
        <v>100</v>
      </c>
      <c r="C76" s="23" t="s">
        <v>126</v>
      </c>
      <c r="D76" s="23" t="s">
        <v>156</v>
      </c>
      <c r="E76" s="47" t="s">
        <v>161</v>
      </c>
      <c r="F76" s="18"/>
      <c r="G76" s="18"/>
      <c r="H76" s="25" t="str">
        <f t="shared" si="7"/>
        <v/>
      </c>
      <c r="I76" s="24" t="str">
        <f t="shared" si="8"/>
        <v/>
      </c>
      <c r="J76" s="24" t="str">
        <f t="shared" si="9"/>
        <v/>
      </c>
      <c r="K76" s="24"/>
      <c r="L76" s="26"/>
    </row>
    <row r="77" spans="1:12" hidden="1" x14ac:dyDescent="0.35">
      <c r="A77" s="21">
        <f t="shared" si="6"/>
        <v>76</v>
      </c>
      <c r="B77" s="22" t="s">
        <v>101</v>
      </c>
      <c r="C77" s="23" t="s">
        <v>126</v>
      </c>
      <c r="D77" s="23" t="s">
        <v>156</v>
      </c>
      <c r="E77" s="47" t="s">
        <v>161</v>
      </c>
      <c r="F77" s="18"/>
      <c r="G77" s="18"/>
      <c r="H77" s="25" t="str">
        <f t="shared" si="7"/>
        <v/>
      </c>
      <c r="I77" s="24" t="str">
        <f t="shared" si="8"/>
        <v/>
      </c>
      <c r="J77" s="24" t="str">
        <f t="shared" si="9"/>
        <v/>
      </c>
      <c r="K77" s="24"/>
      <c r="L77" s="26"/>
    </row>
    <row r="78" spans="1:12" hidden="1" x14ac:dyDescent="0.35">
      <c r="A78" s="21">
        <f t="shared" si="6"/>
        <v>77</v>
      </c>
      <c r="B78" s="22" t="s">
        <v>102</v>
      </c>
      <c r="C78" s="23" t="s">
        <v>126</v>
      </c>
      <c r="D78" s="23" t="s">
        <v>156</v>
      </c>
      <c r="E78" s="47" t="s">
        <v>173</v>
      </c>
      <c r="F78" s="18"/>
      <c r="G78" s="18"/>
      <c r="H78" s="25" t="str">
        <f t="shared" si="7"/>
        <v/>
      </c>
      <c r="I78" s="24" t="str">
        <f t="shared" si="8"/>
        <v/>
      </c>
      <c r="J78" s="24" t="str">
        <f t="shared" si="9"/>
        <v/>
      </c>
      <c r="K78" s="24"/>
      <c r="L78" s="26"/>
    </row>
    <row r="79" spans="1:12" hidden="1" x14ac:dyDescent="0.35">
      <c r="A79" s="21">
        <f t="shared" si="6"/>
        <v>78</v>
      </c>
      <c r="B79" s="22" t="s">
        <v>103</v>
      </c>
      <c r="C79" s="23" t="s">
        <v>126</v>
      </c>
      <c r="D79" s="23" t="s">
        <v>156</v>
      </c>
      <c r="E79" s="47" t="s">
        <v>172</v>
      </c>
      <c r="F79" s="18"/>
      <c r="G79" s="18"/>
      <c r="H79" s="25" t="str">
        <f t="shared" si="7"/>
        <v/>
      </c>
      <c r="I79" s="24" t="str">
        <f t="shared" si="8"/>
        <v/>
      </c>
      <c r="J79" s="24" t="str">
        <f t="shared" si="9"/>
        <v/>
      </c>
      <c r="K79" s="24"/>
      <c r="L79" s="26"/>
    </row>
    <row r="80" spans="1:12" hidden="1" x14ac:dyDescent="0.35">
      <c r="A80" s="21"/>
      <c r="E80" s="48"/>
    </row>
    <row r="81" spans="1:5" ht="29" hidden="1" x14ac:dyDescent="0.35">
      <c r="A81" s="21">
        <f t="shared" si="6"/>
        <v>1</v>
      </c>
      <c r="B81" t="s">
        <v>112</v>
      </c>
      <c r="C81" t="s">
        <v>126</v>
      </c>
      <c r="D81" t="s">
        <v>158</v>
      </c>
      <c r="E81" s="48" t="s">
        <v>160</v>
      </c>
    </row>
    <row r="82" spans="1:5" hidden="1" x14ac:dyDescent="0.35">
      <c r="A82" s="21">
        <f t="shared" si="6"/>
        <v>2</v>
      </c>
      <c r="B82" t="s">
        <v>114</v>
      </c>
      <c r="C82" t="s">
        <v>126</v>
      </c>
      <c r="D82" t="s">
        <v>156</v>
      </c>
      <c r="E82" s="48" t="s">
        <v>173</v>
      </c>
    </row>
    <row r="83" spans="1:5" hidden="1" x14ac:dyDescent="0.35">
      <c r="A83" s="21">
        <f t="shared" si="6"/>
        <v>3</v>
      </c>
      <c r="B83" t="s">
        <v>115</v>
      </c>
      <c r="C83" t="s">
        <v>126</v>
      </c>
      <c r="D83" t="s">
        <v>156</v>
      </c>
      <c r="E83" s="48" t="s">
        <v>173</v>
      </c>
    </row>
    <row r="84" spans="1:5" hidden="1" x14ac:dyDescent="0.35">
      <c r="A84" s="21">
        <f t="shared" si="6"/>
        <v>4</v>
      </c>
      <c r="B84" t="s">
        <v>119</v>
      </c>
      <c r="C84" t="s">
        <v>126</v>
      </c>
      <c r="D84" t="s">
        <v>157</v>
      </c>
      <c r="E84" s="48" t="s">
        <v>163</v>
      </c>
    </row>
    <row r="85" spans="1:5" hidden="1" x14ac:dyDescent="0.35">
      <c r="A85" s="21">
        <f t="shared" si="6"/>
        <v>5</v>
      </c>
      <c r="B85" t="s">
        <v>155</v>
      </c>
      <c r="C85" t="s">
        <v>126</v>
      </c>
      <c r="E85" s="48" t="s">
        <v>170</v>
      </c>
    </row>
  </sheetData>
  <autoFilter ref="A2:L85" xr:uid="{00000000-0001-0000-0100-000000000000}">
    <filterColumn colId="5">
      <customFilters>
        <customFilter operator="notEqual" val=" "/>
      </customFilters>
    </filterColumn>
  </autoFilter>
  <mergeCells count="1">
    <mergeCell ref="A1:L1"/>
  </mergeCells>
  <conditionalFormatting sqref="H3:H79">
    <cfRule type="expression" dxfId="7" priority="2">
      <formula>H3="I — Invest"</formula>
    </cfRule>
    <cfRule type="expression" dxfId="6" priority="3">
      <formula>H3="M — Migrate"</formula>
    </cfRule>
    <cfRule type="expression" dxfId="5" priority="4">
      <formula>H3="T — Tolerate"</formula>
    </cfRule>
    <cfRule type="expression" dxfId="4" priority="5">
      <formula>H3="E — Eliminate"</formula>
    </cfRule>
  </conditionalFormatting>
  <conditionalFormatting sqref="I3:I79">
    <cfRule type="expression" dxfId="3" priority="6">
      <formula>H3="I — Invest"</formula>
    </cfRule>
    <cfRule type="expression" dxfId="2" priority="7">
      <formula>H3="M — Migrate"</formula>
    </cfRule>
    <cfRule type="expression" dxfId="1" priority="8">
      <formula>H3="T — Tolerate"</formula>
    </cfRule>
    <cfRule type="expression" dxfId="0" priority="9">
      <formula>H3="E — Eliminate"</formula>
    </cfRule>
  </conditionalFormatting>
  <dataValidations count="3">
    <dataValidation type="list" allowBlank="1" sqref="E3:E51" xr:uid="{00000000-0002-0000-0100-000002000000}">
      <formula1>"ERP,CRM,Portal Web,App Móvil,Base de Datos,ETL/Integración,Middleware,Reportería,Core Negocio,Infraestructura,Otro"</formula1>
      <formula2>0</formula2>
    </dataValidation>
    <dataValidation type="list" allowBlank="1" showErrorMessage="1" errorTitle="Valor inválido" error="Selecciona: Alto o Bajo" sqref="F3:F79" xr:uid="{00000000-0002-0000-0100-000000000000}">
      <formula1>"Alto,Bajo"</formula1>
      <formula2>0</formula2>
    </dataValidation>
    <dataValidation type="list" allowBlank="1" showErrorMessage="1" errorTitle="Valor inválido" error="Selecciona: Alta o Baja" sqref="G3:G79" xr:uid="{00000000-0002-0000-0100-000001000000}">
      <formula1>"Alta,Baja"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5"/>
  <sheetViews>
    <sheetView showGridLines="0" zoomScaleNormal="100" workbookViewId="0">
      <selection activeCell="B14" sqref="B14:G14"/>
    </sheetView>
  </sheetViews>
  <sheetFormatPr baseColWidth="10" defaultColWidth="8.7265625" defaultRowHeight="14.5" x14ac:dyDescent="0.35"/>
  <cols>
    <col min="1" max="1" width="3" customWidth="1"/>
    <col min="2" max="2" width="20" customWidth="1"/>
    <col min="3" max="6" width="18" customWidth="1"/>
    <col min="7" max="7" width="3" customWidth="1"/>
  </cols>
  <sheetData>
    <row r="1" spans="2:7" ht="31.5" customHeight="1" x14ac:dyDescent="0.35">
      <c r="B1" s="50" t="s">
        <v>56</v>
      </c>
      <c r="C1" s="50"/>
      <c r="D1" s="50"/>
      <c r="E1" s="50"/>
      <c r="F1" s="50"/>
      <c r="G1" s="50"/>
    </row>
    <row r="3" spans="2:7" ht="19.5" customHeight="1" x14ac:dyDescent="0.35">
      <c r="B3" s="27" t="s">
        <v>57</v>
      </c>
      <c r="C3" s="27" t="s">
        <v>58</v>
      </c>
      <c r="D3" s="27" t="s">
        <v>59</v>
      </c>
      <c r="E3" s="27" t="s">
        <v>60</v>
      </c>
      <c r="F3" s="27" t="s">
        <v>61</v>
      </c>
    </row>
    <row r="4" spans="2:7" ht="30" customHeight="1" x14ac:dyDescent="0.35">
      <c r="B4" s="28" t="s">
        <v>62</v>
      </c>
      <c r="C4" s="29">
        <f>COUNTIF('📊 Portfolio'!H3:H51,"I — Invest")</f>
        <v>8</v>
      </c>
      <c r="D4" s="30" t="str">
        <f>IF(C4=0,"—",TEXT(C4/COUNTA('📊 Portfolio'!F3:F51),"0%"))</f>
        <v>25%</v>
      </c>
      <c r="E4" s="31" t="s">
        <v>63</v>
      </c>
      <c r="F4" s="31" t="s">
        <v>64</v>
      </c>
    </row>
    <row r="5" spans="2:7" ht="30" customHeight="1" x14ac:dyDescent="0.35">
      <c r="B5" s="32" t="s">
        <v>65</v>
      </c>
      <c r="C5" s="33">
        <f>COUNTIF('📊 Portfolio'!H3:H51,"M — Migrate")</f>
        <v>10</v>
      </c>
      <c r="D5" s="34" t="str">
        <f>IF(C5=0,"—",TEXT(C5/COUNTA('📊 Portfolio'!F3:F51),"0%"))</f>
        <v>31%</v>
      </c>
      <c r="E5" s="35" t="s">
        <v>31</v>
      </c>
      <c r="F5" s="35" t="s">
        <v>53</v>
      </c>
    </row>
    <row r="6" spans="2:7" ht="30" customHeight="1" x14ac:dyDescent="0.35">
      <c r="B6" s="36" t="s">
        <v>66</v>
      </c>
      <c r="C6" s="37">
        <f>COUNTIF('📊 Portfolio'!H3:H51,"T — Tolerate")</f>
        <v>7</v>
      </c>
      <c r="D6" s="38" t="str">
        <f>IF(C6=0,"—",TEXT(C6/COUNTA('📊 Portfolio'!F3:F51),"0%"))</f>
        <v>22%</v>
      </c>
      <c r="E6" s="39" t="s">
        <v>39</v>
      </c>
      <c r="F6" s="39" t="s">
        <v>55</v>
      </c>
    </row>
    <row r="7" spans="2:7" ht="30" customHeight="1" x14ac:dyDescent="0.35">
      <c r="B7" s="40" t="s">
        <v>67</v>
      </c>
      <c r="C7" s="41">
        <f>COUNTIF('📊 Portfolio'!H3:H51,"E — Eliminate")</f>
        <v>7</v>
      </c>
      <c r="D7" s="42" t="str">
        <f>IF(C7=0,"—",TEXT(C7/COUNTA('📊 Portfolio'!F3:F51),"0%"))</f>
        <v>22%</v>
      </c>
      <c r="E7" s="43" t="s">
        <v>37</v>
      </c>
      <c r="F7" s="43" t="s">
        <v>68</v>
      </c>
    </row>
    <row r="8" spans="2:7" ht="24" customHeight="1" x14ac:dyDescent="0.35">
      <c r="B8" s="44" t="s">
        <v>69</v>
      </c>
      <c r="C8" s="45">
        <f>SUM(C4:C7)</f>
        <v>32</v>
      </c>
      <c r="D8" s="46"/>
      <c r="E8" s="46"/>
      <c r="F8" s="46"/>
    </row>
    <row r="10" spans="2:7" ht="24" customHeight="1" x14ac:dyDescent="0.35">
      <c r="B10" s="63" t="s">
        <v>70</v>
      </c>
      <c r="C10" s="63"/>
      <c r="D10" s="63"/>
      <c r="E10" s="63"/>
      <c r="F10" s="63"/>
      <c r="G10" s="63"/>
    </row>
    <row r="11" spans="2:7" ht="21.75" customHeight="1" x14ac:dyDescent="0.35">
      <c r="B11" s="62" t="s">
        <v>71</v>
      </c>
      <c r="C11" s="62"/>
      <c r="D11" s="62"/>
      <c r="E11" s="62"/>
      <c r="F11" s="62"/>
      <c r="G11" s="62"/>
    </row>
    <row r="12" spans="2:7" ht="21.75" customHeight="1" x14ac:dyDescent="0.35">
      <c r="B12" s="64" t="s">
        <v>72</v>
      </c>
      <c r="C12" s="64"/>
      <c r="D12" s="64"/>
      <c r="E12" s="64"/>
      <c r="F12" s="64"/>
      <c r="G12" s="64"/>
    </row>
    <row r="13" spans="2:7" ht="21.75" customHeight="1" x14ac:dyDescent="0.35">
      <c r="B13" s="62" t="s">
        <v>73</v>
      </c>
      <c r="C13" s="62"/>
      <c r="D13" s="62"/>
      <c r="E13" s="62"/>
      <c r="F13" s="62"/>
      <c r="G13" s="62"/>
    </row>
    <row r="14" spans="2:7" ht="41.5" customHeight="1" x14ac:dyDescent="0.35">
      <c r="B14" s="61" t="s">
        <v>74</v>
      </c>
      <c r="C14" s="61"/>
      <c r="D14" s="61"/>
      <c r="E14" s="61"/>
      <c r="F14" s="61"/>
      <c r="G14" s="61"/>
    </row>
    <row r="15" spans="2:7" ht="21.75" customHeight="1" x14ac:dyDescent="0.35">
      <c r="B15" s="62" t="s">
        <v>75</v>
      </c>
      <c r="C15" s="62"/>
      <c r="D15" s="62"/>
      <c r="E15" s="62"/>
      <c r="F15" s="62"/>
      <c r="G15" s="62"/>
    </row>
  </sheetData>
  <mergeCells count="7">
    <mergeCell ref="B14:G14"/>
    <mergeCell ref="B15:G15"/>
    <mergeCell ref="B1:G1"/>
    <mergeCell ref="B10:G10"/>
    <mergeCell ref="B11:G11"/>
    <mergeCell ref="B12:G12"/>
    <mergeCell ref="B13:G13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97CFE20C16149A1771CF1C9069979" ma:contentTypeVersion="14" ma:contentTypeDescription="Create a new document." ma:contentTypeScope="" ma:versionID="574fb2a9141e8d8d68f68be61b51bc1b">
  <xsd:schema xmlns:xsd="http://www.w3.org/2001/XMLSchema" xmlns:xs="http://www.w3.org/2001/XMLSchema" xmlns:p="http://schemas.microsoft.com/office/2006/metadata/properties" xmlns:ns1="http://schemas.microsoft.com/sharepoint/v3" xmlns:ns2="aa5863fb-10e8-4d89-aabd-3b47e051b308" xmlns:ns3="40071f85-ba93-421c-baf4-8eec527d4112" targetNamespace="http://schemas.microsoft.com/office/2006/metadata/properties" ma:root="true" ma:fieldsID="82f1b1becd810d787e76e05404fa5e14" ns1:_="" ns2:_="" ns3:_="">
    <xsd:import namespace="http://schemas.microsoft.com/sharepoint/v3"/>
    <xsd:import namespace="aa5863fb-10e8-4d89-aabd-3b47e051b308"/>
    <xsd:import namespace="40071f85-ba93-421c-baf4-8eec527d41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5863fb-10e8-4d89-aabd-3b47e051b3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71f85-ba93-421c-baf4-8eec527d411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1759b1-d5df-4610-8af2-91f6cd308e54}" ma:internalName="TaxCatchAll" ma:showField="CatchAllData" ma:web="40071f85-ba93-421c-baf4-8eec527d41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a5863fb-10e8-4d89-aabd-3b47e051b308">
      <Terms xmlns="http://schemas.microsoft.com/office/infopath/2007/PartnerControls"/>
    </lcf76f155ced4ddcb4097134ff3c332f>
    <TaxCatchAll xmlns="40071f85-ba93-421c-baf4-8eec527d4112" xsi:nil="true"/>
  </documentManagement>
</p:properties>
</file>

<file path=customXml/itemProps1.xml><?xml version="1.0" encoding="utf-8"?>
<ds:datastoreItem xmlns:ds="http://schemas.openxmlformats.org/officeDocument/2006/customXml" ds:itemID="{2CDE581A-EF03-4106-8768-888A73ADA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a5863fb-10e8-4d89-aabd-3b47e051b308"/>
    <ds:schemaRef ds:uri="40071f85-ba93-421c-baf4-8eec527d41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775162-A21F-4FFD-A0C0-B4FDD75D83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0C8F9A-8F32-42AE-9120-61136597FB2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a5863fb-10e8-4d89-aabd-3b47e051b308"/>
    <ds:schemaRef ds:uri="40071f85-ba93-421c-baf4-8eec527d41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📋 Instrucciones</vt:lpstr>
      <vt:lpstr>📊 Portfolio</vt:lpstr>
      <vt:lpstr>📈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Ricardo Salas Galliquio</cp:lastModifiedBy>
  <cp:revision>0</cp:revision>
  <dcterms:created xsi:type="dcterms:W3CDTF">2026-05-12T21:55:49Z</dcterms:created>
  <dcterms:modified xsi:type="dcterms:W3CDTF">2026-06-25T19:31:31Z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2026-05-28T15:32:11Z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1bed3be2-eac8-49c8-a0f4-036c1a426966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0x010100FA197CFE20C16149A1771CF1C9069979</vt:lpwstr>
  </property>
</Properties>
</file>